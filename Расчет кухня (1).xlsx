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38FE5478-A5F9-4604-899C-4B6ED7B78837}" xr6:coauthVersionLast="47" xr6:coauthVersionMax="47" xr10:uidLastSave="{00000000-0000-0000-0000-000000000000}"/>
  <bookViews>
    <workbookView xWindow="-120" yWindow="-120" windowWidth="29040" windowHeight="15720" tabRatio="738" xr2:uid="{00000000-000D-0000-FFFF-FFFF00000000}"/>
  </bookViews>
  <sheets>
    <sheet name="Аня шкаф (2)" sheetId="33" r:id="rId1"/>
    <sheet name="Влад и Кристина" sheetId="32" r:id="rId2"/>
    <sheet name="Аня шкаф" sheetId="30" r:id="rId3"/>
    <sheet name="детская  лдсп б ламарти+экстрав" sheetId="31" r:id="rId4"/>
    <sheet name="ННК" sheetId="29" r:id="rId5"/>
    <sheet name="детская evoglos+ лдсп" sheetId="25" r:id="rId6"/>
    <sheet name="СТОЛЕШНИЦЫ" sheetId="2" r:id="rId7"/>
    <sheet name="РАСЧЕТ ЗЕРКАЛ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2" i="33" l="1"/>
  <c r="E343" i="33"/>
  <c r="F344" i="33"/>
  <c r="F339" i="33"/>
  <c r="F337" i="33"/>
  <c r="F336" i="33"/>
  <c r="F335" i="33"/>
  <c r="F334" i="33"/>
  <c r="F332" i="33"/>
  <c r="F331" i="33"/>
  <c r="F330" i="33"/>
  <c r="F329" i="33"/>
  <c r="F328" i="33"/>
  <c r="F326" i="33"/>
  <c r="F325" i="33"/>
  <c r="F324" i="33"/>
  <c r="F323" i="33"/>
  <c r="F321" i="33"/>
  <c r="F320" i="33"/>
  <c r="F319" i="33"/>
  <c r="F317" i="33"/>
  <c r="F316" i="33"/>
  <c r="F315" i="33"/>
  <c r="F314" i="33"/>
  <c r="F312" i="33"/>
  <c r="F308" i="33"/>
  <c r="F307" i="33"/>
  <c r="F306" i="33"/>
  <c r="F305" i="33"/>
  <c r="F304" i="33"/>
  <c r="F302" i="33"/>
  <c r="F301" i="33"/>
  <c r="F300" i="33"/>
  <c r="F298" i="33"/>
  <c r="F297" i="33"/>
  <c r="F296" i="33"/>
  <c r="F295" i="33"/>
  <c r="F294" i="33"/>
  <c r="F292" i="33"/>
  <c r="F291" i="33"/>
  <c r="F290" i="33"/>
  <c r="F289" i="33"/>
  <c r="F288" i="33"/>
  <c r="F286" i="33"/>
  <c r="F285" i="33"/>
  <c r="F284" i="33"/>
  <c r="F283" i="33"/>
  <c r="F282" i="33"/>
  <c r="F281" i="33"/>
  <c r="F280" i="33"/>
  <c r="F277" i="33"/>
  <c r="F276" i="33"/>
  <c r="F275" i="33"/>
  <c r="F274" i="33"/>
  <c r="F273" i="33"/>
  <c r="F272" i="33"/>
  <c r="F271" i="33"/>
  <c r="F269" i="33"/>
  <c r="F268" i="33"/>
  <c r="F267" i="33"/>
  <c r="F266" i="33"/>
  <c r="F265" i="33"/>
  <c r="F264" i="33"/>
  <c r="F263" i="33"/>
  <c r="F262" i="33"/>
  <c r="F260" i="33"/>
  <c r="F259" i="33"/>
  <c r="F258" i="33"/>
  <c r="F257" i="33"/>
  <c r="F256" i="33"/>
  <c r="F255" i="33"/>
  <c r="F254" i="33"/>
  <c r="F253" i="33"/>
  <c r="F251" i="33"/>
  <c r="F250" i="33"/>
  <c r="F249" i="33"/>
  <c r="F248" i="33"/>
  <c r="F247" i="33"/>
  <c r="F246" i="33"/>
  <c r="F245" i="33"/>
  <c r="F242" i="33"/>
  <c r="F241" i="33"/>
  <c r="F240" i="33"/>
  <c r="F239" i="33"/>
  <c r="F237" i="33"/>
  <c r="F236" i="33"/>
  <c r="F235" i="33"/>
  <c r="F234" i="33"/>
  <c r="F233" i="33"/>
  <c r="F216" i="33"/>
  <c r="F215" i="33"/>
  <c r="F214" i="33"/>
  <c r="F213" i="33"/>
  <c r="F211" i="33"/>
  <c r="F209" i="33"/>
  <c r="F208" i="33"/>
  <c r="F207" i="33"/>
  <c r="F204" i="33"/>
  <c r="F203" i="33"/>
  <c r="F202" i="33"/>
  <c r="F201" i="33"/>
  <c r="F199" i="33"/>
  <c r="F198" i="33"/>
  <c r="F197" i="33"/>
  <c r="F196" i="33"/>
  <c r="F195" i="33"/>
  <c r="F193" i="33"/>
  <c r="F192" i="33"/>
  <c r="F191" i="33"/>
  <c r="F189" i="33"/>
  <c r="F188" i="33"/>
  <c r="F187" i="33"/>
  <c r="F186" i="33"/>
  <c r="F184" i="33"/>
  <c r="F183" i="33"/>
  <c r="F182" i="33"/>
  <c r="F181" i="33"/>
  <c r="F180" i="33"/>
  <c r="F178" i="33"/>
  <c r="F177" i="33"/>
  <c r="F176" i="33"/>
  <c r="F175" i="33"/>
  <c r="F174" i="33"/>
  <c r="F171" i="33"/>
  <c r="F170" i="33"/>
  <c r="F168" i="33"/>
  <c r="F167" i="33"/>
  <c r="F166" i="33"/>
  <c r="F165" i="33"/>
  <c r="F164" i="33"/>
  <c r="F163" i="33"/>
  <c r="F162" i="33"/>
  <c r="F161" i="33"/>
  <c r="F160" i="33"/>
  <c r="F158" i="33"/>
  <c r="F157" i="33"/>
  <c r="F156" i="33"/>
  <c r="F155" i="33"/>
  <c r="F154" i="33"/>
  <c r="F153" i="33"/>
  <c r="F152" i="33"/>
  <c r="F151" i="33"/>
  <c r="F149" i="33"/>
  <c r="F146" i="33"/>
  <c r="F144" i="33"/>
  <c r="F143" i="33"/>
  <c r="F137" i="33"/>
  <c r="F136" i="33"/>
  <c r="F135" i="33"/>
  <c r="F133" i="33"/>
  <c r="F131" i="33"/>
  <c r="F130" i="33"/>
  <c r="F129" i="33"/>
  <c r="F128" i="33"/>
  <c r="F127" i="33"/>
  <c r="F126" i="33"/>
  <c r="F125" i="33"/>
  <c r="F124" i="33"/>
  <c r="F123" i="33"/>
  <c r="F121" i="33"/>
  <c r="F120" i="33"/>
  <c r="F119" i="33"/>
  <c r="F118" i="33"/>
  <c r="F117" i="33"/>
  <c r="F116" i="33"/>
  <c r="F115" i="33"/>
  <c r="F113" i="33"/>
  <c r="F112" i="33"/>
  <c r="F111" i="33"/>
  <c r="F110" i="33"/>
  <c r="F108" i="33"/>
  <c r="F107" i="33"/>
  <c r="F106" i="33"/>
  <c r="F105" i="33"/>
  <c r="F104" i="33"/>
  <c r="F103" i="33"/>
  <c r="F102" i="33"/>
  <c r="F101" i="33"/>
  <c r="F100" i="33"/>
  <c r="F99" i="33"/>
  <c r="F98" i="33"/>
  <c r="F97" i="33"/>
  <c r="F96" i="33"/>
  <c r="F95" i="33"/>
  <c r="F94" i="33"/>
  <c r="F93" i="33"/>
  <c r="F92" i="33"/>
  <c r="F91" i="33"/>
  <c r="F90" i="33"/>
  <c r="F89" i="33"/>
  <c r="F88" i="33"/>
  <c r="F87" i="33"/>
  <c r="F86" i="33"/>
  <c r="F85" i="33"/>
  <c r="F84" i="33"/>
  <c r="F83" i="33"/>
  <c r="F79" i="33"/>
  <c r="F78" i="33"/>
  <c r="F77" i="33"/>
  <c r="F76" i="33"/>
  <c r="F75" i="33"/>
  <c r="F73" i="33"/>
  <c r="F72" i="33"/>
  <c r="F71" i="33"/>
  <c r="F70" i="33"/>
  <c r="F69" i="33"/>
  <c r="F67" i="33"/>
  <c r="F66" i="33"/>
  <c r="F65" i="33"/>
  <c r="F64" i="33"/>
  <c r="F63" i="33"/>
  <c r="F61" i="33"/>
  <c r="F60" i="33"/>
  <c r="F59" i="33"/>
  <c r="F58" i="33"/>
  <c r="F57" i="33"/>
  <c r="F55" i="33"/>
  <c r="F54" i="33"/>
  <c r="F53" i="33"/>
  <c r="F52" i="33"/>
  <c r="F50" i="33"/>
  <c r="F49" i="33"/>
  <c r="F48" i="33"/>
  <c r="F47" i="33"/>
  <c r="F46" i="33"/>
  <c r="F45" i="33"/>
  <c r="F44" i="33"/>
  <c r="F43" i="33"/>
  <c r="F42" i="33"/>
  <c r="F40" i="33"/>
  <c r="F39" i="33"/>
  <c r="F38" i="33"/>
  <c r="F37" i="33"/>
  <c r="F36" i="33"/>
  <c r="F35" i="33"/>
  <c r="F34" i="33"/>
  <c r="F33" i="33"/>
  <c r="F32" i="33"/>
  <c r="F31" i="33"/>
  <c r="F30" i="33"/>
  <c r="F29" i="33"/>
  <c r="F28" i="33"/>
  <c r="F25" i="33"/>
  <c r="F19" i="33"/>
  <c r="F18" i="33"/>
  <c r="F17" i="33"/>
  <c r="F16" i="33"/>
  <c r="F15" i="33"/>
  <c r="F14" i="33"/>
  <c r="F13" i="33"/>
  <c r="F12" i="33"/>
  <c r="F10" i="33"/>
  <c r="F9" i="33"/>
  <c r="F8" i="33"/>
  <c r="F7" i="33"/>
  <c r="F6" i="33"/>
  <c r="F5" i="33"/>
  <c r="F4" i="33"/>
  <c r="F3" i="33"/>
  <c r="F344" i="32"/>
  <c r="F339" i="32"/>
  <c r="F337" i="32"/>
  <c r="F336" i="32"/>
  <c r="F335" i="32"/>
  <c r="F334" i="32"/>
  <c r="F332" i="32"/>
  <c r="F331" i="32"/>
  <c r="F330" i="32"/>
  <c r="F329" i="32"/>
  <c r="F328" i="32"/>
  <c r="F326" i="32"/>
  <c r="F325" i="32"/>
  <c r="F324" i="32"/>
  <c r="F323" i="32"/>
  <c r="F321" i="32"/>
  <c r="F320" i="32"/>
  <c r="F319" i="32"/>
  <c r="F317" i="32"/>
  <c r="F316" i="32"/>
  <c r="F315" i="32"/>
  <c r="F314" i="32"/>
  <c r="F312" i="32"/>
  <c r="F308" i="32"/>
  <c r="F307" i="32"/>
  <c r="F306" i="32"/>
  <c r="F305" i="32"/>
  <c r="F304" i="32"/>
  <c r="F302" i="32"/>
  <c r="F301" i="32"/>
  <c r="F300" i="32"/>
  <c r="F298" i="32"/>
  <c r="F297" i="32"/>
  <c r="F296" i="32"/>
  <c r="F295" i="32"/>
  <c r="F294" i="32"/>
  <c r="F292" i="32"/>
  <c r="F291" i="32"/>
  <c r="F290" i="32"/>
  <c r="F289" i="32"/>
  <c r="F288" i="32"/>
  <c r="F286" i="32"/>
  <c r="F285" i="32"/>
  <c r="F284" i="32"/>
  <c r="F283" i="32"/>
  <c r="F282" i="32"/>
  <c r="F281" i="32"/>
  <c r="F280" i="32"/>
  <c r="F277" i="32"/>
  <c r="F276" i="32"/>
  <c r="F275" i="32"/>
  <c r="F274" i="32"/>
  <c r="F273" i="32"/>
  <c r="F272" i="32"/>
  <c r="F271" i="32"/>
  <c r="F269" i="32"/>
  <c r="F268" i="32"/>
  <c r="F267" i="32"/>
  <c r="F266" i="32"/>
  <c r="F265" i="32"/>
  <c r="F264" i="32"/>
  <c r="F263" i="32"/>
  <c r="F262" i="32"/>
  <c r="F260" i="32"/>
  <c r="F259" i="32"/>
  <c r="F258" i="32"/>
  <c r="F257" i="32"/>
  <c r="F256" i="32"/>
  <c r="F255" i="32"/>
  <c r="F254" i="32"/>
  <c r="F253" i="32"/>
  <c r="F251" i="32"/>
  <c r="F250" i="32"/>
  <c r="F249" i="32"/>
  <c r="F248" i="32"/>
  <c r="F247" i="32"/>
  <c r="F246" i="32"/>
  <c r="F245" i="32"/>
  <c r="F242" i="32"/>
  <c r="F241" i="32"/>
  <c r="F240" i="32"/>
  <c r="F239" i="32"/>
  <c r="F237" i="32"/>
  <c r="F236" i="32"/>
  <c r="F235" i="32"/>
  <c r="F234" i="32"/>
  <c r="F233" i="32"/>
  <c r="F216" i="32"/>
  <c r="F215" i="32"/>
  <c r="F214" i="32"/>
  <c r="F213" i="32"/>
  <c r="F211" i="32"/>
  <c r="F209" i="32"/>
  <c r="F208" i="32"/>
  <c r="F207" i="32"/>
  <c r="F204" i="32"/>
  <c r="F203" i="32"/>
  <c r="F202" i="32"/>
  <c r="F201" i="32"/>
  <c r="F199" i="32"/>
  <c r="F198" i="32"/>
  <c r="F197" i="32"/>
  <c r="F196" i="32"/>
  <c r="F195" i="32"/>
  <c r="F193" i="32"/>
  <c r="F192" i="32"/>
  <c r="F191" i="32"/>
  <c r="F189" i="32"/>
  <c r="F188" i="32"/>
  <c r="F187" i="32"/>
  <c r="F186" i="32"/>
  <c r="F184" i="32"/>
  <c r="F183" i="32"/>
  <c r="F182" i="32"/>
  <c r="F181" i="32"/>
  <c r="F180" i="32"/>
  <c r="F178" i="32"/>
  <c r="F177" i="32"/>
  <c r="F176" i="32"/>
  <c r="F175" i="32"/>
  <c r="F174" i="32"/>
  <c r="F171" i="32"/>
  <c r="F170" i="32"/>
  <c r="F168" i="32"/>
  <c r="F167" i="32"/>
  <c r="F166" i="32"/>
  <c r="F165" i="32"/>
  <c r="F164" i="32"/>
  <c r="F163" i="32"/>
  <c r="F162" i="32"/>
  <c r="F161" i="32"/>
  <c r="F160" i="32"/>
  <c r="F158" i="32"/>
  <c r="F157" i="32"/>
  <c r="F156" i="32"/>
  <c r="F155" i="32"/>
  <c r="F154" i="32"/>
  <c r="F153" i="32"/>
  <c r="F152" i="32"/>
  <c r="F151" i="32"/>
  <c r="F149" i="32"/>
  <c r="F146" i="32"/>
  <c r="F144" i="32"/>
  <c r="F143" i="32"/>
  <c r="F137" i="32"/>
  <c r="F136" i="32"/>
  <c r="F135" i="32"/>
  <c r="F133" i="32"/>
  <c r="F131" i="32"/>
  <c r="F130" i="32"/>
  <c r="F129" i="32"/>
  <c r="F128" i="32"/>
  <c r="F127" i="32"/>
  <c r="F126" i="32"/>
  <c r="F125" i="32"/>
  <c r="F124" i="32"/>
  <c r="F123" i="32"/>
  <c r="F121" i="32"/>
  <c r="F120" i="32"/>
  <c r="F119" i="32"/>
  <c r="F118" i="32"/>
  <c r="F117" i="32"/>
  <c r="F116" i="32"/>
  <c r="F115" i="32"/>
  <c r="F113" i="32"/>
  <c r="F112" i="32"/>
  <c r="F111" i="32"/>
  <c r="F110" i="32"/>
  <c r="F108" i="32"/>
  <c r="F107" i="32"/>
  <c r="F106" i="32"/>
  <c r="F105" i="32"/>
  <c r="F104" i="32"/>
  <c r="F103" i="32"/>
  <c r="F102" i="32"/>
  <c r="F101" i="32"/>
  <c r="F100" i="32"/>
  <c r="F99" i="32"/>
  <c r="F98" i="32"/>
  <c r="F97" i="32"/>
  <c r="F96" i="32"/>
  <c r="F95" i="32"/>
  <c r="F94" i="32"/>
  <c r="F93" i="32"/>
  <c r="F92" i="32"/>
  <c r="F91" i="32"/>
  <c r="F90" i="32"/>
  <c r="F89" i="32"/>
  <c r="F88" i="32"/>
  <c r="F87" i="32"/>
  <c r="F86" i="32"/>
  <c r="F85" i="32"/>
  <c r="F84" i="32"/>
  <c r="F83" i="32"/>
  <c r="F79" i="32"/>
  <c r="F78" i="32"/>
  <c r="F77" i="32"/>
  <c r="F76" i="32"/>
  <c r="F75" i="32"/>
  <c r="F73" i="32"/>
  <c r="F72" i="32"/>
  <c r="F71" i="32"/>
  <c r="F70" i="32"/>
  <c r="F69" i="32"/>
  <c r="F67" i="32"/>
  <c r="F66" i="32"/>
  <c r="F65" i="32"/>
  <c r="F64" i="32"/>
  <c r="F63" i="32"/>
  <c r="F61" i="32"/>
  <c r="F60" i="32"/>
  <c r="F59" i="32"/>
  <c r="F58" i="32"/>
  <c r="F57" i="32"/>
  <c r="F55" i="32"/>
  <c r="F54" i="32"/>
  <c r="F53" i="32"/>
  <c r="F52" i="32"/>
  <c r="F50" i="32"/>
  <c r="F49" i="32"/>
  <c r="F48" i="32"/>
  <c r="F47" i="32"/>
  <c r="F46" i="32"/>
  <c r="F45" i="32"/>
  <c r="F44" i="32"/>
  <c r="F43" i="32"/>
  <c r="F42" i="32"/>
  <c r="F40" i="32"/>
  <c r="F39" i="32"/>
  <c r="F38" i="32"/>
  <c r="F37" i="32"/>
  <c r="F36" i="32"/>
  <c r="F35" i="32"/>
  <c r="F34" i="32"/>
  <c r="F33" i="32"/>
  <c r="F32" i="32"/>
  <c r="F31" i="32"/>
  <c r="F30" i="32"/>
  <c r="F29" i="32"/>
  <c r="F28" i="32"/>
  <c r="F25" i="32"/>
  <c r="F19" i="32"/>
  <c r="F18" i="32"/>
  <c r="F17" i="32"/>
  <c r="F16" i="32"/>
  <c r="F15" i="32"/>
  <c r="F14" i="32"/>
  <c r="F13" i="32"/>
  <c r="F12" i="32"/>
  <c r="F10" i="32"/>
  <c r="F9" i="32"/>
  <c r="F8" i="32"/>
  <c r="F7" i="32"/>
  <c r="F6" i="32"/>
  <c r="F5" i="32"/>
  <c r="F4" i="32"/>
  <c r="F3" i="32"/>
  <c r="F344" i="31"/>
  <c r="F339" i="31"/>
  <c r="F337" i="31"/>
  <c r="F336" i="31"/>
  <c r="F335" i="31"/>
  <c r="F334" i="31"/>
  <c r="F332" i="31"/>
  <c r="F331" i="31"/>
  <c r="F330" i="31"/>
  <c r="F329" i="31"/>
  <c r="F328" i="31"/>
  <c r="F326" i="31"/>
  <c r="F325" i="31"/>
  <c r="F324" i="31"/>
  <c r="F323" i="31"/>
  <c r="F321" i="31"/>
  <c r="F320" i="31"/>
  <c r="F319" i="31"/>
  <c r="F317" i="31"/>
  <c r="F316" i="31"/>
  <c r="F315" i="31"/>
  <c r="F314" i="31"/>
  <c r="F312" i="31"/>
  <c r="F308" i="31"/>
  <c r="F307" i="31"/>
  <c r="F306" i="31"/>
  <c r="F305" i="31"/>
  <c r="F304" i="31"/>
  <c r="F302" i="31"/>
  <c r="F301" i="31"/>
  <c r="F300" i="31"/>
  <c r="F298" i="31"/>
  <c r="F297" i="31"/>
  <c r="F296" i="31"/>
  <c r="F295" i="31"/>
  <c r="F294" i="31"/>
  <c r="F292" i="31"/>
  <c r="F291" i="31"/>
  <c r="F290" i="31"/>
  <c r="F289" i="31"/>
  <c r="F288" i="31"/>
  <c r="F286" i="31"/>
  <c r="F285" i="31"/>
  <c r="F284" i="31"/>
  <c r="F283" i="31"/>
  <c r="F282" i="31"/>
  <c r="F281" i="31"/>
  <c r="F280" i="31"/>
  <c r="F277" i="31"/>
  <c r="F276" i="31"/>
  <c r="F275" i="31"/>
  <c r="F274" i="31"/>
  <c r="F273" i="31"/>
  <c r="F272" i="31"/>
  <c r="F271" i="31"/>
  <c r="F269" i="31"/>
  <c r="F268" i="31"/>
  <c r="F267" i="31"/>
  <c r="F266" i="31"/>
  <c r="F265" i="31"/>
  <c r="F264" i="31"/>
  <c r="F263" i="31"/>
  <c r="F262" i="31"/>
  <c r="F260" i="31"/>
  <c r="F259" i="31"/>
  <c r="F258" i="31"/>
  <c r="F257" i="31"/>
  <c r="F256" i="31"/>
  <c r="F255" i="31"/>
  <c r="F254" i="31"/>
  <c r="F253" i="31"/>
  <c r="F251" i="31"/>
  <c r="F250" i="31"/>
  <c r="F249" i="31"/>
  <c r="F248" i="31"/>
  <c r="F247" i="31"/>
  <c r="F246" i="31"/>
  <c r="F245" i="31"/>
  <c r="F242" i="31"/>
  <c r="F241" i="31"/>
  <c r="F240" i="31"/>
  <c r="F239" i="31"/>
  <c r="F237" i="31"/>
  <c r="F236" i="31"/>
  <c r="F235" i="31"/>
  <c r="F234" i="31"/>
  <c r="F233" i="31"/>
  <c r="F216" i="31"/>
  <c r="F215" i="31"/>
  <c r="F214" i="31"/>
  <c r="F213" i="31"/>
  <c r="F211" i="31"/>
  <c r="F209" i="31"/>
  <c r="F208" i="31"/>
  <c r="F207" i="31"/>
  <c r="F204" i="31"/>
  <c r="F203" i="31"/>
  <c r="F202" i="31"/>
  <c r="F201" i="31"/>
  <c r="F199" i="31"/>
  <c r="F198" i="31"/>
  <c r="F197" i="31"/>
  <c r="F196" i="31"/>
  <c r="F195" i="31"/>
  <c r="F193" i="31"/>
  <c r="F192" i="31"/>
  <c r="F191" i="31"/>
  <c r="F189" i="31"/>
  <c r="F188" i="31"/>
  <c r="F187" i="31"/>
  <c r="F186" i="31"/>
  <c r="F184" i="31"/>
  <c r="F183" i="31"/>
  <c r="F182" i="31"/>
  <c r="F181" i="31"/>
  <c r="F180" i="31"/>
  <c r="F178" i="31"/>
  <c r="F177" i="31"/>
  <c r="F176" i="31"/>
  <c r="F175" i="31"/>
  <c r="F174" i="31"/>
  <c r="F171" i="31"/>
  <c r="F170" i="31"/>
  <c r="F168" i="31"/>
  <c r="F167" i="31"/>
  <c r="F166" i="31"/>
  <c r="F165" i="31"/>
  <c r="F164" i="31"/>
  <c r="F163" i="31"/>
  <c r="F162" i="31"/>
  <c r="F161" i="31"/>
  <c r="F160" i="31"/>
  <c r="F158" i="31"/>
  <c r="F157" i="31"/>
  <c r="F156" i="31"/>
  <c r="F155" i="31"/>
  <c r="F154" i="31"/>
  <c r="F153" i="31"/>
  <c r="F152" i="31"/>
  <c r="F151" i="31"/>
  <c r="F149" i="31"/>
  <c r="F146" i="31"/>
  <c r="F144" i="31"/>
  <c r="F143" i="31"/>
  <c r="F137" i="31"/>
  <c r="F136" i="31"/>
  <c r="F135" i="31"/>
  <c r="F133" i="31"/>
  <c r="F131" i="31"/>
  <c r="F130" i="31"/>
  <c r="F129" i="31"/>
  <c r="F128" i="31"/>
  <c r="F127" i="31"/>
  <c r="F126" i="31"/>
  <c r="F125" i="31"/>
  <c r="F124" i="31"/>
  <c r="F123" i="31"/>
  <c r="F121" i="31"/>
  <c r="F120" i="31"/>
  <c r="F119" i="31"/>
  <c r="F118" i="31"/>
  <c r="F117" i="31"/>
  <c r="F116" i="31"/>
  <c r="F115" i="31"/>
  <c r="F113" i="31"/>
  <c r="F112" i="31"/>
  <c r="F111" i="31"/>
  <c r="F110" i="31"/>
  <c r="F108" i="31"/>
  <c r="F107" i="31"/>
  <c r="F106" i="31"/>
  <c r="F105" i="31"/>
  <c r="F104" i="31"/>
  <c r="F103" i="31"/>
  <c r="F102" i="31"/>
  <c r="F101" i="31"/>
  <c r="F100" i="31"/>
  <c r="F99" i="31"/>
  <c r="F98" i="31"/>
  <c r="F97" i="31"/>
  <c r="F96" i="31"/>
  <c r="F95" i="31"/>
  <c r="F94" i="31"/>
  <c r="F93" i="31"/>
  <c r="F92" i="31"/>
  <c r="F91" i="31"/>
  <c r="F90" i="31"/>
  <c r="F89" i="31"/>
  <c r="F88" i="31"/>
  <c r="F87" i="31"/>
  <c r="F86" i="31"/>
  <c r="F85" i="31"/>
  <c r="F84" i="31"/>
  <c r="F83" i="31"/>
  <c r="F79" i="31"/>
  <c r="F78" i="31"/>
  <c r="F77" i="31"/>
  <c r="F76" i="31"/>
  <c r="F75" i="31"/>
  <c r="F73" i="31"/>
  <c r="F72" i="31"/>
  <c r="F71" i="31"/>
  <c r="F70" i="31"/>
  <c r="F69" i="31"/>
  <c r="F67" i="31"/>
  <c r="F66" i="31"/>
  <c r="F65" i="31"/>
  <c r="F64" i="31"/>
  <c r="F63" i="31"/>
  <c r="F61" i="31"/>
  <c r="F60" i="31"/>
  <c r="F59" i="31"/>
  <c r="F58" i="31"/>
  <c r="F57" i="31"/>
  <c r="F55" i="31"/>
  <c r="F54" i="31"/>
  <c r="F53" i="31"/>
  <c r="F52" i="31"/>
  <c r="F50" i="31"/>
  <c r="F49" i="31"/>
  <c r="F48" i="31"/>
  <c r="F47" i="31"/>
  <c r="F46" i="31"/>
  <c r="F45" i="31"/>
  <c r="F44" i="31"/>
  <c r="F43" i="31"/>
  <c r="F42" i="31"/>
  <c r="F40" i="31"/>
  <c r="F39" i="31"/>
  <c r="F38" i="31"/>
  <c r="F37" i="31"/>
  <c r="F36" i="31"/>
  <c r="F35" i="31"/>
  <c r="F34" i="31"/>
  <c r="F33" i="31"/>
  <c r="F32" i="31"/>
  <c r="F31" i="31"/>
  <c r="F30" i="31"/>
  <c r="F29" i="31"/>
  <c r="F28" i="31"/>
  <c r="F25" i="31"/>
  <c r="F19" i="31"/>
  <c r="F18" i="31"/>
  <c r="F17" i="31"/>
  <c r="F16" i="31"/>
  <c r="F15" i="31"/>
  <c r="F14" i="31"/>
  <c r="F13" i="31"/>
  <c r="F12" i="31"/>
  <c r="F10" i="31"/>
  <c r="F9" i="31"/>
  <c r="F8" i="31"/>
  <c r="F7" i="31"/>
  <c r="F6" i="31"/>
  <c r="F5" i="31"/>
  <c r="F4" i="31"/>
  <c r="F3" i="31"/>
  <c r="F344" i="30"/>
  <c r="F339" i="30"/>
  <c r="F337" i="30"/>
  <c r="F336" i="30"/>
  <c r="F335" i="30"/>
  <c r="F334" i="30"/>
  <c r="F332" i="30"/>
  <c r="F331" i="30"/>
  <c r="F330" i="30"/>
  <c r="F329" i="30"/>
  <c r="F328" i="30"/>
  <c r="F326" i="30"/>
  <c r="F325" i="30"/>
  <c r="F324" i="30"/>
  <c r="F323" i="30"/>
  <c r="F321" i="30"/>
  <c r="F320" i="30"/>
  <c r="F319" i="30"/>
  <c r="F317" i="30"/>
  <c r="F316" i="30"/>
  <c r="F315" i="30"/>
  <c r="F314" i="30"/>
  <c r="F312" i="30"/>
  <c r="F308" i="30"/>
  <c r="F307" i="30"/>
  <c r="F306" i="30"/>
  <c r="F305" i="30"/>
  <c r="F304" i="30"/>
  <c r="F302" i="30"/>
  <c r="F301" i="30"/>
  <c r="F300" i="30"/>
  <c r="F298" i="30"/>
  <c r="F297" i="30"/>
  <c r="F296" i="30"/>
  <c r="F295" i="30"/>
  <c r="F294" i="30"/>
  <c r="F292" i="30"/>
  <c r="F291" i="30"/>
  <c r="F290" i="30"/>
  <c r="F289" i="30"/>
  <c r="F288" i="30"/>
  <c r="F286" i="30"/>
  <c r="F285" i="30"/>
  <c r="F284" i="30"/>
  <c r="F283" i="30"/>
  <c r="F282" i="30"/>
  <c r="F281" i="30"/>
  <c r="F280" i="30"/>
  <c r="F277" i="30"/>
  <c r="F276" i="30"/>
  <c r="F275" i="30"/>
  <c r="F274" i="30"/>
  <c r="F273" i="30"/>
  <c r="F272" i="30"/>
  <c r="F271" i="30"/>
  <c r="F269" i="30"/>
  <c r="F268" i="30"/>
  <c r="F267" i="30"/>
  <c r="F266" i="30"/>
  <c r="F265" i="30"/>
  <c r="F264" i="30"/>
  <c r="F263" i="30"/>
  <c r="F262" i="30"/>
  <c r="F260" i="30"/>
  <c r="F259" i="30"/>
  <c r="F258" i="30"/>
  <c r="F257" i="30"/>
  <c r="F256" i="30"/>
  <c r="F255" i="30"/>
  <c r="F254" i="30"/>
  <c r="F253" i="30"/>
  <c r="F251" i="30"/>
  <c r="F250" i="30"/>
  <c r="F249" i="30"/>
  <c r="F248" i="30"/>
  <c r="F247" i="30"/>
  <c r="F246" i="30"/>
  <c r="F245" i="30"/>
  <c r="F242" i="30"/>
  <c r="F241" i="30"/>
  <c r="F240" i="30"/>
  <c r="F239" i="30"/>
  <c r="F237" i="30"/>
  <c r="F236" i="30"/>
  <c r="F235" i="30"/>
  <c r="F234" i="30"/>
  <c r="F233" i="30"/>
  <c r="F216" i="30"/>
  <c r="F215" i="30"/>
  <c r="F214" i="30"/>
  <c r="F213" i="30"/>
  <c r="F211" i="30"/>
  <c r="F209" i="30"/>
  <c r="F208" i="30"/>
  <c r="F207" i="30"/>
  <c r="F204" i="30"/>
  <c r="F203" i="30"/>
  <c r="F202" i="30"/>
  <c r="F201" i="30"/>
  <c r="F199" i="30"/>
  <c r="F198" i="30"/>
  <c r="F197" i="30"/>
  <c r="F196" i="30"/>
  <c r="F195" i="30"/>
  <c r="F193" i="30"/>
  <c r="F192" i="30"/>
  <c r="F191" i="30"/>
  <c r="F189" i="30"/>
  <c r="F188" i="30"/>
  <c r="F187" i="30"/>
  <c r="F186" i="30"/>
  <c r="F184" i="30"/>
  <c r="F183" i="30"/>
  <c r="F182" i="30"/>
  <c r="F181" i="30"/>
  <c r="F180" i="30"/>
  <c r="F178" i="30"/>
  <c r="F177" i="30"/>
  <c r="F176" i="30"/>
  <c r="F175" i="30"/>
  <c r="F174" i="30"/>
  <c r="F171" i="30"/>
  <c r="F170" i="30"/>
  <c r="F168" i="30"/>
  <c r="F167" i="30"/>
  <c r="F166" i="30"/>
  <c r="F165" i="30"/>
  <c r="F164" i="30"/>
  <c r="F163" i="30"/>
  <c r="F162" i="30"/>
  <c r="F161" i="30"/>
  <c r="F160" i="30"/>
  <c r="F158" i="30"/>
  <c r="F157" i="30"/>
  <c r="F156" i="30"/>
  <c r="F155" i="30"/>
  <c r="F154" i="30"/>
  <c r="F153" i="30"/>
  <c r="F152" i="30"/>
  <c r="F151" i="30"/>
  <c r="F149" i="30"/>
  <c r="F146" i="30"/>
  <c r="F144" i="30"/>
  <c r="F143" i="30"/>
  <c r="F137" i="30"/>
  <c r="F136" i="30"/>
  <c r="F135" i="30"/>
  <c r="F133" i="30"/>
  <c r="F131" i="30"/>
  <c r="F130" i="30"/>
  <c r="F129" i="30"/>
  <c r="F128" i="30"/>
  <c r="F127" i="30"/>
  <c r="F126" i="30"/>
  <c r="F125" i="30"/>
  <c r="F124" i="30"/>
  <c r="F123" i="30"/>
  <c r="F121" i="30"/>
  <c r="F120" i="30"/>
  <c r="F119" i="30"/>
  <c r="F118" i="30"/>
  <c r="F117" i="30"/>
  <c r="F116" i="30"/>
  <c r="F115" i="30"/>
  <c r="F113" i="30"/>
  <c r="F112" i="30"/>
  <c r="F111" i="30"/>
  <c r="F110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79" i="30"/>
  <c r="F78" i="30"/>
  <c r="F77" i="30"/>
  <c r="F76" i="30"/>
  <c r="F75" i="30"/>
  <c r="F73" i="30"/>
  <c r="F72" i="30"/>
  <c r="F71" i="30"/>
  <c r="F70" i="30"/>
  <c r="F69" i="30"/>
  <c r="F67" i="30"/>
  <c r="F66" i="30"/>
  <c r="F65" i="30"/>
  <c r="F64" i="30"/>
  <c r="F63" i="30"/>
  <c r="F61" i="30"/>
  <c r="F60" i="30"/>
  <c r="F59" i="30"/>
  <c r="F58" i="30"/>
  <c r="F57" i="30"/>
  <c r="F55" i="30"/>
  <c r="F54" i="30"/>
  <c r="F53" i="30"/>
  <c r="F52" i="30"/>
  <c r="F50" i="30"/>
  <c r="F49" i="30"/>
  <c r="F48" i="30"/>
  <c r="F47" i="30"/>
  <c r="F46" i="30"/>
  <c r="F45" i="30"/>
  <c r="F44" i="30"/>
  <c r="F43" i="30"/>
  <c r="F42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5" i="30"/>
  <c r="F19" i="30"/>
  <c r="F18" i="30"/>
  <c r="F17" i="30"/>
  <c r="F16" i="30"/>
  <c r="F15" i="30"/>
  <c r="F14" i="30"/>
  <c r="F13" i="30"/>
  <c r="F12" i="30"/>
  <c r="F10" i="30"/>
  <c r="F9" i="30"/>
  <c r="F8" i="30"/>
  <c r="F7" i="30"/>
  <c r="F6" i="30"/>
  <c r="F5" i="30"/>
  <c r="F4" i="30"/>
  <c r="F3" i="30"/>
  <c r="F344" i="29"/>
  <c r="F339" i="29"/>
  <c r="F337" i="29"/>
  <c r="F336" i="29"/>
  <c r="F335" i="29"/>
  <c r="F334" i="29"/>
  <c r="F332" i="29"/>
  <c r="F331" i="29"/>
  <c r="F330" i="29"/>
  <c r="F329" i="29"/>
  <c r="F328" i="29"/>
  <c r="F326" i="29"/>
  <c r="F325" i="29"/>
  <c r="F324" i="29"/>
  <c r="F323" i="29"/>
  <c r="F321" i="29"/>
  <c r="F320" i="29"/>
  <c r="F319" i="29"/>
  <c r="F317" i="29"/>
  <c r="F316" i="29"/>
  <c r="F315" i="29"/>
  <c r="F314" i="29"/>
  <c r="F312" i="29"/>
  <c r="F308" i="29"/>
  <c r="F307" i="29"/>
  <c r="F306" i="29"/>
  <c r="F305" i="29"/>
  <c r="F304" i="29"/>
  <c r="F302" i="29"/>
  <c r="F301" i="29"/>
  <c r="F300" i="29"/>
  <c r="F298" i="29"/>
  <c r="F297" i="29"/>
  <c r="F296" i="29"/>
  <c r="F295" i="29"/>
  <c r="F294" i="29"/>
  <c r="F292" i="29"/>
  <c r="F291" i="29"/>
  <c r="F290" i="29"/>
  <c r="F289" i="29"/>
  <c r="F288" i="29"/>
  <c r="F286" i="29"/>
  <c r="F285" i="29"/>
  <c r="F284" i="29"/>
  <c r="F283" i="29"/>
  <c r="F282" i="29"/>
  <c r="F281" i="29"/>
  <c r="F280" i="29"/>
  <c r="F277" i="29"/>
  <c r="F276" i="29"/>
  <c r="F275" i="29"/>
  <c r="F274" i="29"/>
  <c r="F273" i="29"/>
  <c r="F272" i="29"/>
  <c r="F271" i="29"/>
  <c r="F269" i="29"/>
  <c r="F268" i="29"/>
  <c r="F267" i="29"/>
  <c r="F266" i="29"/>
  <c r="F265" i="29"/>
  <c r="F264" i="29"/>
  <c r="F263" i="29"/>
  <c r="F262" i="29"/>
  <c r="F260" i="29"/>
  <c r="F259" i="29"/>
  <c r="F258" i="29"/>
  <c r="F257" i="29"/>
  <c r="F256" i="29"/>
  <c r="F255" i="29"/>
  <c r="F254" i="29"/>
  <c r="F253" i="29"/>
  <c r="F251" i="29"/>
  <c r="F250" i="29"/>
  <c r="F249" i="29"/>
  <c r="F248" i="29"/>
  <c r="F247" i="29"/>
  <c r="F246" i="29"/>
  <c r="F245" i="29"/>
  <c r="F242" i="29"/>
  <c r="F241" i="29"/>
  <c r="F240" i="29"/>
  <c r="F239" i="29"/>
  <c r="F237" i="29"/>
  <c r="F236" i="29"/>
  <c r="F235" i="29"/>
  <c r="F234" i="29"/>
  <c r="F233" i="29"/>
  <c r="F216" i="29"/>
  <c r="F215" i="29"/>
  <c r="F214" i="29"/>
  <c r="F213" i="29"/>
  <c r="F211" i="29"/>
  <c r="F209" i="29"/>
  <c r="F208" i="29"/>
  <c r="F207" i="29"/>
  <c r="F204" i="29"/>
  <c r="F203" i="29"/>
  <c r="F202" i="29"/>
  <c r="F201" i="29"/>
  <c r="F199" i="29"/>
  <c r="F198" i="29"/>
  <c r="F197" i="29"/>
  <c r="F196" i="29"/>
  <c r="F195" i="29"/>
  <c r="F193" i="29"/>
  <c r="F192" i="29"/>
  <c r="F191" i="29"/>
  <c r="F189" i="29"/>
  <c r="F188" i="29"/>
  <c r="F187" i="29"/>
  <c r="F186" i="29"/>
  <c r="F184" i="29"/>
  <c r="F183" i="29"/>
  <c r="F182" i="29"/>
  <c r="F181" i="29"/>
  <c r="F180" i="29"/>
  <c r="F178" i="29"/>
  <c r="F177" i="29"/>
  <c r="F176" i="29"/>
  <c r="F175" i="29"/>
  <c r="F174" i="29"/>
  <c r="F171" i="29"/>
  <c r="F170" i="29"/>
  <c r="F168" i="29"/>
  <c r="F167" i="29"/>
  <c r="F166" i="29"/>
  <c r="F165" i="29"/>
  <c r="F164" i="29"/>
  <c r="F163" i="29"/>
  <c r="F162" i="29"/>
  <c r="F161" i="29"/>
  <c r="F160" i="29"/>
  <c r="F158" i="29"/>
  <c r="F157" i="29"/>
  <c r="F156" i="29"/>
  <c r="F155" i="29"/>
  <c r="F154" i="29"/>
  <c r="F153" i="29"/>
  <c r="F152" i="29"/>
  <c r="F151" i="29"/>
  <c r="F149" i="29"/>
  <c r="F146" i="29"/>
  <c r="F144" i="29"/>
  <c r="F143" i="29"/>
  <c r="F137" i="29"/>
  <c r="F136" i="29"/>
  <c r="F135" i="29"/>
  <c r="F133" i="29"/>
  <c r="F131" i="29"/>
  <c r="F130" i="29"/>
  <c r="F129" i="29"/>
  <c r="F128" i="29"/>
  <c r="F127" i="29"/>
  <c r="F126" i="29"/>
  <c r="F125" i="29"/>
  <c r="F124" i="29"/>
  <c r="F123" i="29"/>
  <c r="F121" i="29"/>
  <c r="F120" i="29"/>
  <c r="F119" i="29"/>
  <c r="F118" i="29"/>
  <c r="F117" i="29"/>
  <c r="F116" i="29"/>
  <c r="F115" i="29"/>
  <c r="F113" i="29"/>
  <c r="F112" i="29"/>
  <c r="F111" i="29"/>
  <c r="F110" i="29"/>
  <c r="F108" i="29"/>
  <c r="F107" i="29"/>
  <c r="F106" i="29"/>
  <c r="F105" i="29"/>
  <c r="F104" i="29"/>
  <c r="F103" i="29"/>
  <c r="F102" i="29"/>
  <c r="F101" i="29"/>
  <c r="F100" i="29"/>
  <c r="F99" i="29"/>
  <c r="F98" i="29"/>
  <c r="F97" i="29"/>
  <c r="F96" i="29"/>
  <c r="F95" i="29"/>
  <c r="F94" i="29"/>
  <c r="F93" i="29"/>
  <c r="F92" i="29"/>
  <c r="F91" i="29"/>
  <c r="F90" i="29"/>
  <c r="F89" i="29"/>
  <c r="F88" i="29"/>
  <c r="F87" i="29"/>
  <c r="F86" i="29"/>
  <c r="F85" i="29"/>
  <c r="F84" i="29"/>
  <c r="F83" i="29"/>
  <c r="F79" i="29"/>
  <c r="F78" i="29"/>
  <c r="F77" i="29"/>
  <c r="F76" i="29"/>
  <c r="F75" i="29"/>
  <c r="F73" i="29"/>
  <c r="F72" i="29"/>
  <c r="F71" i="29"/>
  <c r="F70" i="29"/>
  <c r="F69" i="29"/>
  <c r="F67" i="29"/>
  <c r="F66" i="29"/>
  <c r="F65" i="29"/>
  <c r="F64" i="29"/>
  <c r="F63" i="29"/>
  <c r="F61" i="29"/>
  <c r="F60" i="29"/>
  <c r="F59" i="29"/>
  <c r="F58" i="29"/>
  <c r="F57" i="29"/>
  <c r="F55" i="29"/>
  <c r="F54" i="29"/>
  <c r="F53" i="29"/>
  <c r="F52" i="29"/>
  <c r="F50" i="29"/>
  <c r="F49" i="29"/>
  <c r="F48" i="29"/>
  <c r="F47" i="29"/>
  <c r="F46" i="29"/>
  <c r="F45" i="29"/>
  <c r="F44" i="29"/>
  <c r="F43" i="29"/>
  <c r="F42" i="29"/>
  <c r="F40" i="29"/>
  <c r="F39" i="29"/>
  <c r="F38" i="29"/>
  <c r="F37" i="29"/>
  <c r="F36" i="29"/>
  <c r="F35" i="29"/>
  <c r="F34" i="29"/>
  <c r="F33" i="29"/>
  <c r="F32" i="29"/>
  <c r="F31" i="29"/>
  <c r="F30" i="29"/>
  <c r="F29" i="29"/>
  <c r="F28" i="29"/>
  <c r="F25" i="29"/>
  <c r="F19" i="29"/>
  <c r="F18" i="29"/>
  <c r="F17" i="29"/>
  <c r="F16" i="29"/>
  <c r="F15" i="29"/>
  <c r="F14" i="29"/>
  <c r="F13" i="29"/>
  <c r="F12" i="29"/>
  <c r="F10" i="29"/>
  <c r="F9" i="29"/>
  <c r="F8" i="29"/>
  <c r="F7" i="29"/>
  <c r="F6" i="29"/>
  <c r="F5" i="29"/>
  <c r="F4" i="29"/>
  <c r="F3" i="29"/>
  <c r="F4" i="25"/>
  <c r="F5" i="25"/>
  <c r="F6" i="25"/>
  <c r="F7" i="25"/>
  <c r="F8" i="25"/>
  <c r="F9" i="25"/>
  <c r="F10" i="25"/>
  <c r="F298" i="25"/>
  <c r="F214" i="25"/>
  <c r="E341" i="33" l="1"/>
  <c r="E346" i="33" s="1"/>
  <c r="E341" i="30"/>
  <c r="E342" i="30" s="1"/>
  <c r="E341" i="32"/>
  <c r="E342" i="32" s="1"/>
  <c r="E341" i="31"/>
  <c r="E343" i="31" s="1"/>
  <c r="E341" i="29"/>
  <c r="E342" i="29" s="1"/>
  <c r="F178" i="25"/>
  <c r="F157" i="25"/>
  <c r="F344" i="25"/>
  <c r="F335" i="25"/>
  <c r="F336" i="25"/>
  <c r="F339" i="25"/>
  <c r="E347" i="33" l="1"/>
  <c r="E347" i="30"/>
  <c r="E346" i="30"/>
  <c r="E343" i="30"/>
  <c r="E347" i="32"/>
  <c r="E346" i="32"/>
  <c r="E343" i="32"/>
  <c r="E342" i="31"/>
  <c r="E347" i="31"/>
  <c r="E346" i="31"/>
  <c r="E347" i="29"/>
  <c r="E346" i="29"/>
  <c r="E343" i="29"/>
  <c r="F337" i="25"/>
  <c r="F334" i="25"/>
  <c r="F332" i="25"/>
  <c r="F331" i="25"/>
  <c r="F330" i="25"/>
  <c r="F329" i="25"/>
  <c r="F328" i="25"/>
  <c r="F326" i="25"/>
  <c r="F325" i="25"/>
  <c r="F324" i="25"/>
  <c r="F323" i="25"/>
  <c r="F321" i="25"/>
  <c r="F320" i="25"/>
  <c r="F319" i="25"/>
  <c r="F317" i="25"/>
  <c r="F316" i="25"/>
  <c r="F315" i="25"/>
  <c r="F314" i="25"/>
  <c r="F312" i="25"/>
  <c r="F308" i="25"/>
  <c r="F307" i="25"/>
  <c r="F306" i="25"/>
  <c r="F305" i="25"/>
  <c r="F304" i="25"/>
  <c r="F302" i="25"/>
  <c r="F301" i="25"/>
  <c r="F300" i="25"/>
  <c r="F297" i="25"/>
  <c r="F296" i="25"/>
  <c r="F295" i="25"/>
  <c r="F294" i="25"/>
  <c r="F292" i="25"/>
  <c r="F291" i="25"/>
  <c r="F290" i="25"/>
  <c r="F289" i="25"/>
  <c r="F288" i="25"/>
  <c r="F286" i="25"/>
  <c r="F285" i="25"/>
  <c r="F284" i="25"/>
  <c r="F283" i="25"/>
  <c r="F282" i="25"/>
  <c r="F281" i="25"/>
  <c r="F280" i="25"/>
  <c r="F277" i="25"/>
  <c r="F276" i="25"/>
  <c r="F275" i="25"/>
  <c r="F274" i="25"/>
  <c r="F273" i="25"/>
  <c r="F272" i="25"/>
  <c r="F271" i="25"/>
  <c r="F269" i="25"/>
  <c r="F268" i="25"/>
  <c r="F267" i="25"/>
  <c r="F266" i="25"/>
  <c r="F265" i="25"/>
  <c r="F264" i="25"/>
  <c r="F263" i="25"/>
  <c r="F262" i="25"/>
  <c r="F260" i="25"/>
  <c r="F259" i="25"/>
  <c r="F258" i="25"/>
  <c r="F257" i="25"/>
  <c r="F256" i="25"/>
  <c r="F255" i="25"/>
  <c r="F254" i="25"/>
  <c r="F253" i="25"/>
  <c r="F251" i="25"/>
  <c r="F250" i="25"/>
  <c r="F249" i="25"/>
  <c r="F248" i="25"/>
  <c r="F247" i="25"/>
  <c r="F246" i="25"/>
  <c r="F245" i="25"/>
  <c r="F242" i="25"/>
  <c r="F241" i="25"/>
  <c r="F240" i="25"/>
  <c r="F239" i="25"/>
  <c r="F237" i="25"/>
  <c r="F236" i="25"/>
  <c r="F235" i="25"/>
  <c r="F234" i="25"/>
  <c r="F233" i="25"/>
  <c r="F216" i="25"/>
  <c r="F215" i="25"/>
  <c r="F213" i="25"/>
  <c r="F211" i="25"/>
  <c r="F209" i="25"/>
  <c r="F208" i="25"/>
  <c r="F207" i="25"/>
  <c r="F204" i="25"/>
  <c r="F203" i="25"/>
  <c r="F202" i="25"/>
  <c r="F201" i="25"/>
  <c r="F199" i="25"/>
  <c r="F198" i="25"/>
  <c r="F197" i="25"/>
  <c r="F196" i="25"/>
  <c r="F195" i="25"/>
  <c r="F193" i="25"/>
  <c r="F192" i="25"/>
  <c r="F191" i="25"/>
  <c r="F189" i="25"/>
  <c r="F188" i="25"/>
  <c r="F187" i="25"/>
  <c r="F186" i="25"/>
  <c r="F184" i="25"/>
  <c r="F183" i="25"/>
  <c r="F182" i="25"/>
  <c r="F181" i="25"/>
  <c r="F180" i="25"/>
  <c r="F177" i="25"/>
  <c r="F176" i="25"/>
  <c r="F175" i="25"/>
  <c r="F174" i="25"/>
  <c r="F171" i="25"/>
  <c r="F170" i="25"/>
  <c r="F168" i="25"/>
  <c r="F167" i="25"/>
  <c r="F166" i="25"/>
  <c r="F165" i="25"/>
  <c r="F164" i="25"/>
  <c r="F163" i="25"/>
  <c r="F162" i="25"/>
  <c r="F161" i="25"/>
  <c r="F160" i="25"/>
  <c r="F158" i="25"/>
  <c r="F156" i="25"/>
  <c r="F155" i="25"/>
  <c r="F154" i="25"/>
  <c r="F153" i="25"/>
  <c r="F152" i="25"/>
  <c r="F151" i="25"/>
  <c r="F149" i="25"/>
  <c r="F146" i="25"/>
  <c r="F144" i="25"/>
  <c r="F143" i="25"/>
  <c r="F137" i="25"/>
  <c r="F136" i="25"/>
  <c r="F135" i="25"/>
  <c r="F133" i="25"/>
  <c r="F131" i="25"/>
  <c r="F130" i="25"/>
  <c r="F129" i="25"/>
  <c r="F128" i="25"/>
  <c r="F127" i="25"/>
  <c r="F126" i="25"/>
  <c r="F125" i="25"/>
  <c r="F124" i="25"/>
  <c r="F123" i="25"/>
  <c r="F121" i="25"/>
  <c r="F120" i="25"/>
  <c r="F119" i="25"/>
  <c r="F118" i="25"/>
  <c r="F117" i="25"/>
  <c r="F116" i="25"/>
  <c r="F115" i="25"/>
  <c r="F113" i="25"/>
  <c r="F112" i="25"/>
  <c r="F111" i="25"/>
  <c r="F110" i="25"/>
  <c r="F108" i="25"/>
  <c r="F107" i="25"/>
  <c r="F106" i="25"/>
  <c r="F105" i="25"/>
  <c r="F104" i="25"/>
  <c r="F103" i="25"/>
  <c r="F102" i="25"/>
  <c r="F101" i="25"/>
  <c r="F100" i="25"/>
  <c r="F99" i="25"/>
  <c r="F98" i="25"/>
  <c r="F97" i="25"/>
  <c r="F96" i="25"/>
  <c r="F95" i="25"/>
  <c r="F94" i="25"/>
  <c r="F93" i="25"/>
  <c r="F92" i="25"/>
  <c r="F91" i="25"/>
  <c r="F90" i="25"/>
  <c r="F89" i="25"/>
  <c r="F88" i="25"/>
  <c r="F87" i="25"/>
  <c r="F86" i="25"/>
  <c r="F85" i="25"/>
  <c r="F84" i="25"/>
  <c r="F83" i="25"/>
  <c r="F79" i="25"/>
  <c r="F78" i="25"/>
  <c r="F77" i="25"/>
  <c r="F76" i="25"/>
  <c r="F75" i="25"/>
  <c r="F73" i="25"/>
  <c r="F72" i="25"/>
  <c r="F71" i="25"/>
  <c r="F70" i="25"/>
  <c r="F69" i="25"/>
  <c r="F67" i="25"/>
  <c r="F66" i="25"/>
  <c r="F65" i="25"/>
  <c r="F64" i="25"/>
  <c r="F63" i="25"/>
  <c r="F61" i="25"/>
  <c r="F60" i="25"/>
  <c r="F59" i="25"/>
  <c r="F58" i="25"/>
  <c r="F57" i="25"/>
  <c r="F55" i="25"/>
  <c r="F54" i="25"/>
  <c r="F53" i="25"/>
  <c r="F52" i="25"/>
  <c r="F50" i="25"/>
  <c r="F49" i="25"/>
  <c r="F48" i="25"/>
  <c r="F47" i="25"/>
  <c r="F46" i="25"/>
  <c r="F45" i="25"/>
  <c r="F44" i="25"/>
  <c r="F43" i="25"/>
  <c r="F42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5" i="25"/>
  <c r="F19" i="25"/>
  <c r="F18" i="25"/>
  <c r="F17" i="25"/>
  <c r="F16" i="25"/>
  <c r="F15" i="25"/>
  <c r="F14" i="25"/>
  <c r="F13" i="25"/>
  <c r="F12" i="25"/>
  <c r="F3" i="25"/>
  <c r="E348" i="33" l="1"/>
  <c r="E349" i="33" s="1"/>
  <c r="E350" i="33" s="1"/>
  <c r="E351" i="33" s="1"/>
  <c r="E353" i="33" s="1"/>
  <c r="E354" i="33" s="1"/>
  <c r="E348" i="30"/>
  <c r="E349" i="30" s="1"/>
  <c r="E350" i="30" s="1"/>
  <c r="E351" i="30" s="1"/>
  <c r="E353" i="30" s="1"/>
  <c r="E354" i="30" s="1"/>
  <c r="E348" i="29"/>
  <c r="E349" i="29" s="1"/>
  <c r="E350" i="29" s="1"/>
  <c r="E351" i="29" s="1"/>
  <c r="E353" i="29" s="1"/>
  <c r="E354" i="29" s="1"/>
  <c r="E348" i="32"/>
  <c r="E349" i="32" s="1"/>
  <c r="E350" i="32" s="1"/>
  <c r="E351" i="32" s="1"/>
  <c r="E353" i="32" s="1"/>
  <c r="E354" i="32" s="1"/>
  <c r="E348" i="31"/>
  <c r="E349" i="31" s="1"/>
  <c r="E350" i="31" s="1"/>
  <c r="E351" i="31" s="1"/>
  <c r="E353" i="31" s="1"/>
  <c r="E354" i="31" s="1"/>
  <c r="E341" i="25"/>
  <c r="E342" i="25" l="1"/>
  <c r="E346" i="25"/>
  <c r="E343" i="25"/>
  <c r="E347" i="25"/>
  <c r="D36" i="2"/>
  <c r="D34" i="2"/>
  <c r="D33" i="2"/>
  <c r="D32" i="2"/>
  <c r="D31" i="2"/>
  <c r="D29" i="2"/>
  <c r="D28" i="2"/>
  <c r="D27" i="2"/>
  <c r="D25" i="2"/>
  <c r="D24" i="2"/>
  <c r="D23" i="2"/>
  <c r="D22" i="2"/>
  <c r="D21" i="2"/>
  <c r="D20" i="2"/>
  <c r="D19" i="2"/>
  <c r="D18" i="2"/>
  <c r="D17" i="2"/>
  <c r="D15" i="2"/>
  <c r="D14" i="2"/>
  <c r="D13" i="2"/>
  <c r="D12" i="2"/>
  <c r="D11" i="2"/>
  <c r="D10" i="2"/>
  <c r="D9" i="2"/>
  <c r="D8" i="2"/>
  <c r="D7" i="2"/>
  <c r="D6" i="2"/>
  <c r="D5" i="2"/>
  <c r="C38" i="2" s="1"/>
  <c r="D4" i="2"/>
  <c r="D3" i="2"/>
  <c r="C44" i="2" l="1"/>
  <c r="C43" i="2"/>
  <c r="D42" i="2"/>
  <c r="C42" i="2" s="1"/>
  <c r="D41" i="2"/>
  <c r="C41" i="2" s="1"/>
  <c r="C40" i="2"/>
  <c r="C45" i="2" s="1"/>
  <c r="C46" i="2" s="1"/>
  <c r="C47" i="2" s="1"/>
  <c r="C39" i="2"/>
  <c r="C5" i="24"/>
  <c r="C6" i="24" s="1"/>
  <c r="E348" i="25"/>
  <c r="E349" i="25" s="1"/>
  <c r="E350" i="25" l="1"/>
  <c r="C7" i="24"/>
  <c r="C8" i="24"/>
  <c r="C50" i="2"/>
  <c r="C49" i="2"/>
  <c r="C48" i="2"/>
  <c r="C51" i="2" s="1"/>
  <c r="C52" i="2" s="1"/>
  <c r="E351" i="25" l="1"/>
  <c r="C11" i="24"/>
  <c r="C10" i="24"/>
  <c r="C9" i="24"/>
  <c r="C12" i="24" s="1"/>
  <c r="C13" i="24" s="1"/>
  <c r="E353" i="25" l="1"/>
  <c r="E354" i="25" s="1"/>
</calcChain>
</file>

<file path=xl/sharedStrings.xml><?xml version="1.0" encoding="utf-8"?>
<sst xmlns="http://schemas.openxmlformats.org/spreadsheetml/2006/main" count="3696" uniqueCount="388">
  <si>
    <t>Наименование</t>
  </si>
  <si>
    <t>Количество</t>
  </si>
  <si>
    <t>С/С</t>
  </si>
  <si>
    <t>Планируемая С/С</t>
  </si>
  <si>
    <t xml:space="preserve"> </t>
  </si>
  <si>
    <t>ЛДСП SLOTEX 4200*600</t>
  </si>
  <si>
    <t>ЛДСП SLOTEX 3000*1200</t>
  </si>
  <si>
    <t>HPL ПАНЕЛЬ</t>
  </si>
  <si>
    <t>КОМПЛЕКТУЮЩИЕ К СТОЛЕШНИЦЕ</t>
  </si>
  <si>
    <t>МОНТАЖ</t>
  </si>
  <si>
    <t>ДОСТАВКА</t>
  </si>
  <si>
    <t>ДИЗАЙНЕР</t>
  </si>
  <si>
    <t>МЕНЕДЖЕР</t>
  </si>
  <si>
    <t>КРОМКА SLOTEX 42*4200</t>
  </si>
  <si>
    <t>КРОМКА EGGER ABC 43mm</t>
  </si>
  <si>
    <t>КРОМКА FORA&amp;STYLE 42*3050</t>
  </si>
  <si>
    <t>ПЛАНКА УГЛОВАЯ SLOTEX</t>
  </si>
  <si>
    <t>ПЛАНКА ТОРЦЕВА SLOTEX</t>
  </si>
  <si>
    <t>ПЛАНКА УГЛОВАЯ (R3) EGGER/FORM</t>
  </si>
  <si>
    <t>ПЛАНКА СОЕДИНИТЕЛЬНАЯ SLOTEX</t>
  </si>
  <si>
    <t>ПЛАНКА ТОРЦЕВАЯ (R3) EGGER/FORM</t>
  </si>
  <si>
    <t>ПЛАНКА ЩЕЛЕВА (R3) EGGER/FORM</t>
  </si>
  <si>
    <t>СТЕНОВАЯ ПАНЕЛЬ</t>
  </si>
  <si>
    <t>СТОЛЕШНИЦА ЛДСП</t>
  </si>
  <si>
    <t>СТЕНОВАЯ ПАНЕЛЬ ЛДСП EGGER 640*4100*8</t>
  </si>
  <si>
    <t>СТЕНОВАЯ ПАНЕЛЬ ЛДСП SLOTEX 600*4200*8</t>
  </si>
  <si>
    <t>СТЕНОВАЯ ПАНЕЛЬ ЛДСП FORM/STYLE 655*4100*6</t>
  </si>
  <si>
    <t>ТЕХНИЧЕСКИЙ ДИРЕКТОР</t>
  </si>
  <si>
    <t>HPL ETERNO 3050*1320</t>
  </si>
  <si>
    <t>ИЗГОТОВЛЕНИЕ</t>
  </si>
  <si>
    <t>СЕБЕСТОИМОСТЬ</t>
  </si>
  <si>
    <t>ЗАМЕР</t>
  </si>
  <si>
    <t>ПРОЕКТИРОВКА</t>
  </si>
  <si>
    <t>ПРОЧИЕ РАСХОДЫ</t>
  </si>
  <si>
    <t>ПЛАНИРУЕМАЯ ПРИБЫЛЬ</t>
  </si>
  <si>
    <t>ИТОГО:</t>
  </si>
  <si>
    <t>РАСЧЁТ СТОИМОСТИ</t>
  </si>
  <si>
    <t>ФУРНИТУРА</t>
  </si>
  <si>
    <t>СУШКИ В НИЖНЮЮ БАЗУ</t>
  </si>
  <si>
    <t>КУХОННЫЙ СТАНДАРТ</t>
  </si>
  <si>
    <t>РАСЧЁТ СТОИМОЧТИ</t>
  </si>
  <si>
    <t xml:space="preserve">Количество </t>
  </si>
  <si>
    <t>ЛДСП</t>
  </si>
  <si>
    <t>EXTRAVERT</t>
  </si>
  <si>
    <t>МДФ</t>
  </si>
  <si>
    <t>ПЕТЛИ BLUM</t>
  </si>
  <si>
    <t>ПЕТЛИ BOYARD</t>
  </si>
  <si>
    <t>ПОДЪЁМНИКИ BLUM</t>
  </si>
  <si>
    <t>ПОДЪЁМНИКИ DTC</t>
  </si>
  <si>
    <t>ЯЩИКИ BLUM</t>
  </si>
  <si>
    <t>ЯЩИКИ BOYARD</t>
  </si>
  <si>
    <t>НАПРАВЛЯЮЩИЕ BOYARD</t>
  </si>
  <si>
    <t>ДЛИННОМЕРЫ</t>
  </si>
  <si>
    <t>ПОДСВЕТКА</t>
  </si>
  <si>
    <t>AGT</t>
  </si>
  <si>
    <t>AGT SUPRAMAT</t>
  </si>
  <si>
    <t>EGGER PERFECT SENSE</t>
  </si>
  <si>
    <t>SLOTEX DUCO</t>
  </si>
  <si>
    <t xml:space="preserve"> МДФ ETERNO (MTT)</t>
  </si>
  <si>
    <t>ETERNO МДФ (SANSATION)</t>
  </si>
  <si>
    <t>МДФ ETERNO (WOOD|LOFT)</t>
  </si>
  <si>
    <t xml:space="preserve"> МДФ SM`ART TSS</t>
  </si>
  <si>
    <t>ОТ ПОДРЯДЧИКОВ</t>
  </si>
  <si>
    <t>EGGER 4100*600</t>
  </si>
  <si>
    <t xml:space="preserve"> EGGER (БЕЗ ПАСТФОРМИНГА) 4100*650</t>
  </si>
  <si>
    <t>FORMA&amp;STYLE 3000*1200</t>
  </si>
  <si>
    <t>FORMA&amp;STYLE 3050*600</t>
  </si>
  <si>
    <t>FORMA&amp;STYLE 4100*600</t>
  </si>
  <si>
    <t>ЛДСП SLOTEX 3000*600</t>
  </si>
  <si>
    <t>КЕДР 1</t>
  </si>
  <si>
    <t>КЕДР 2</t>
  </si>
  <si>
    <t>КЕДР 3</t>
  </si>
  <si>
    <t>КЕДР 4</t>
  </si>
  <si>
    <t>КЕДР 5</t>
  </si>
  <si>
    <t>HPL ETERNO 3050*660</t>
  </si>
  <si>
    <t>HPL SLOTEX 3050*650</t>
  </si>
  <si>
    <t>HPL SLOTEX 3050*1320</t>
  </si>
  <si>
    <t>EVOGLOSS 18мм</t>
  </si>
  <si>
    <t>Петля Боярд для узкой алюм. Рамки (только с доводчиком)</t>
  </si>
  <si>
    <t>Ящик внутренний</t>
  </si>
  <si>
    <t>Направлющие скрытого монтажа Tandem доводчик 250</t>
  </si>
  <si>
    <t>Направлющие скрытого монтажа Tandem доводчик 300</t>
  </si>
  <si>
    <t>Направлющие скрытого монтажа Tandem доводчик 350</t>
  </si>
  <si>
    <t>Направлющие скрытого монтажа Tandem доводчик 400</t>
  </si>
  <si>
    <t>Направлющие скрытого монтажа Tandem доводчик 450</t>
  </si>
  <si>
    <t>Направлющие скрытого монтажа Tandem доводчик 500</t>
  </si>
  <si>
    <t>Направлющие скрытого монтажа Tandem доводчик 550</t>
  </si>
  <si>
    <t>Направлющие скрытого монтажа Tandem tip-on 550</t>
  </si>
  <si>
    <t>Направлющие скрытого монтажа Tandem tip-on 250</t>
  </si>
  <si>
    <t>Направлющие скрытого монтажа Tandem tip-on 300</t>
  </si>
  <si>
    <t>Направлющие скрытого монтажа Tandem tip-on 350</t>
  </si>
  <si>
    <t>Направлющие скрытого монтажа Tandem tip-on 400</t>
  </si>
  <si>
    <t>Направлющие скрытого монтажа Tandem tip-on 450</t>
  </si>
  <si>
    <t>Направлющие скрытого монтажа Tandem tip-on 500</t>
  </si>
  <si>
    <t>Направлющие скрытого монтажа Movento доводчик 250</t>
  </si>
  <si>
    <t>Направлющие скрытого монтажа Movento доводчик 300</t>
  </si>
  <si>
    <t>Направлющие скрытого монтажа Movento доводчик 350</t>
  </si>
  <si>
    <t>Направлющие скрытого монтажа Movento доводчик 400</t>
  </si>
  <si>
    <t>Направлющие скрытого монтажа Movento доводчик 450</t>
  </si>
  <si>
    <t>Направлющие скрытого монтажа Movento доводчик 500</t>
  </si>
  <si>
    <t>Направлющие скрытого монтажа Movento доводчик 550</t>
  </si>
  <si>
    <t>Направлющие скрытого монтажа Movento доводчик 600</t>
  </si>
  <si>
    <t>Направлющие скрытого монтажа Movento Tip-on Blumotion 300</t>
  </si>
  <si>
    <t>Направлющие скрытого монтажа Movento Tip-on Blumotion 350</t>
  </si>
  <si>
    <t>Направлющие скрытого монтажа Movento Tip-on Blumotion 400</t>
  </si>
  <si>
    <t>Направлющие скрытого монтажа Movento Tip-on Blumotion 450</t>
  </si>
  <si>
    <t>Направлющие скрытого монтажа Movento Tip-on Blumotion 500</t>
  </si>
  <si>
    <t>Направлющие скрытого монтажа Movento Tip-on Blumotion 550</t>
  </si>
  <si>
    <t>EVOSOFT 18мм</t>
  </si>
  <si>
    <t xml:space="preserve"> Подъемник DTC Top Stay SE (HK-XS) 1 рычаг + 2 петли с доводчиком</t>
  </si>
  <si>
    <t xml:space="preserve"> Подъемник DTC Top Stay SE (HK-XS) 2 рычага + 2 петли с доводчиком</t>
  </si>
  <si>
    <t>Подъемник DTC Top Stay SE PUSH (HK-XS) 1 рычаг + 2 петли без пружины</t>
  </si>
  <si>
    <t>Подъемник DTC Top Stay SE PUSH (HK-XS) 2 рычага + 2 петли без пружины</t>
  </si>
  <si>
    <t>Подъемник DTC Top Stay ST (Складной HF)</t>
  </si>
  <si>
    <t>Стандартный ящик тонкий СТАРТ h=86 мм для низких фасадов</t>
  </si>
  <si>
    <t>Стандартный ящик тонкий СТАРТ h=116 мм для средних фасадов</t>
  </si>
  <si>
    <t>Стандартный ящик тонкий СТАРТ h=167 мм для высоких фасадов</t>
  </si>
  <si>
    <t>Стандартный ящик тонкий СТАРТ h=199 мм для высоких фасадов</t>
  </si>
  <si>
    <t>Стандартный ящик тонкий СТАРТ PUSH h=86 мм</t>
  </si>
  <si>
    <t>Стандартный ящик тонкий СТАРТ PUSH h=116 мм</t>
  </si>
  <si>
    <t>Стандартный ящик тонкий СТАРТ PUSH h=167 мм</t>
  </si>
  <si>
    <t>Трубка синхронизации для СТАРТ PUSH 1500мм</t>
  </si>
  <si>
    <t>Направляющие скрытого монтажа (push-open) 300</t>
  </si>
  <si>
    <t>Направляющие скрытого монтажа (push-open) 350</t>
  </si>
  <si>
    <t>Направляющие скрытого монтажа (push-open) 400</t>
  </si>
  <si>
    <t>Направляющие скрытого монтажа (push-open) 450</t>
  </si>
  <si>
    <t>Направляющие скрытого монтажа (push-open) 500</t>
  </si>
  <si>
    <t>КРОМКА К ЛДСП</t>
  </si>
  <si>
    <t>EGGER 0,8*19</t>
  </si>
  <si>
    <t>EGGER 2*19</t>
  </si>
  <si>
    <t>EGGER 2*35</t>
  </si>
  <si>
    <t>EXTRAVERT 0,8*19</t>
  </si>
  <si>
    <t>EXTRAVERT 2*19</t>
  </si>
  <si>
    <t>КРОМКА К МДФ</t>
  </si>
  <si>
    <t>EVO 1*22</t>
  </si>
  <si>
    <t>AGT 1*22</t>
  </si>
  <si>
    <t>AGT SUPRAMAT 1*22</t>
  </si>
  <si>
    <t>Сушка в верхнюю базу Боярд (База шириной до 900мм)</t>
  </si>
  <si>
    <t>Лоток для столовых приборов пластиковый подрезной 
(ящик шириной до 900мм)</t>
  </si>
  <si>
    <t>Гигиенический поддон (ширино до 900мм)</t>
  </si>
  <si>
    <t>АЛЮМИНИЕВЫЙ ФАСАД</t>
  </si>
  <si>
    <t>EGGER 0,4*19</t>
  </si>
  <si>
    <t xml:space="preserve"> Штанга прямоугольная антискользящая 3000мм</t>
  </si>
  <si>
    <t>Штангодержатель прямоугольной трубы с заглушкой (2 штуки)</t>
  </si>
  <si>
    <t xml:space="preserve"> Штанга круглая D25</t>
  </si>
  <si>
    <t>Штангодержатель круглый D25</t>
  </si>
  <si>
    <t>Сушка выкатная в нижнюю базу 600 мм VIBO + направляющие Blum</t>
  </si>
  <si>
    <t>Сушка выкатная в нижнюю базу 600 мм Jet Aurora + направляющие скр. монтажа</t>
  </si>
  <si>
    <t>Сушка выкатная в нижнюю базу 600 мм Boyard + направляющие скр. монтажа</t>
  </si>
  <si>
    <t>Направляющие скрытого монтажа доводчик 300</t>
  </si>
  <si>
    <t>Направляющие скрытого монтажа доводчик 400</t>
  </si>
  <si>
    <t>Направляющие скрытого монтажа доводчик 350</t>
  </si>
  <si>
    <t>Направляющие скрытого монтажа доводчик 450</t>
  </si>
  <si>
    <t>Направляющие скрытого монтажа доводчик 500</t>
  </si>
  <si>
    <t>Корзина 2-х уровневая в базу 150мм H=510мм Vibo+Blum</t>
  </si>
  <si>
    <t>Корзина 2-х уровневая в базу 200мм H=510мм Vibo+Blum</t>
  </si>
  <si>
    <t>Бутылочница Квадро-1 в базу на 150 мм + Hettich</t>
  </si>
  <si>
    <t>Бутылочница Квадро-2 в базу на 200 мм + Hettich</t>
  </si>
  <si>
    <t>Бутылочница Квадро-2 в базу на 300 мм + Hettich</t>
  </si>
  <si>
    <t>Рифленое стекло MORU extra clear (2000х3300)</t>
  </si>
  <si>
    <t>Тонировка стекла пленкой</t>
  </si>
  <si>
    <t>Стекло (кв. м)</t>
  </si>
  <si>
    <t>ЗЕРКАЛО</t>
  </si>
  <si>
    <t>С БОНУСОМ ДИЗАЙНЕРА</t>
  </si>
  <si>
    <t>SLOTEX DUCO 1*19</t>
  </si>
  <si>
    <t xml:space="preserve"> МДФ ETERNO (SANSATION) 1*22</t>
  </si>
  <si>
    <t xml:space="preserve"> МДФ ETERNO (MTT) 1*22</t>
  </si>
  <si>
    <t>МДФ ETERNO (WOOD|LOFT) 1*22</t>
  </si>
  <si>
    <t xml:space="preserve"> МДФ SM`ART TSS 1*23</t>
  </si>
  <si>
    <t xml:space="preserve"> МДФ SM`ART TSS (склейка) 1*44</t>
  </si>
  <si>
    <t>Стекло для алюминевого профиля (пишем оптовое значение)</t>
  </si>
  <si>
    <t>Цоколь ПВХ Rehau  4м</t>
  </si>
  <si>
    <t xml:space="preserve"> GOLA профиль G-образный для верхних баз 3 м </t>
  </si>
  <si>
    <t xml:space="preserve"> GOLA профиль вертикальный промежуточный 3 м </t>
  </si>
  <si>
    <t xml:space="preserve">GOLA профиль горизонтальный 3 м (C,L) </t>
  </si>
  <si>
    <t xml:space="preserve"> GOLA профиль вертикальный боковой  3 м </t>
  </si>
  <si>
    <t xml:space="preserve">Профиль для подсветки (Хлыст 3 м) </t>
  </si>
  <si>
    <t>Подсветка LED (Бухта 5м)</t>
  </si>
  <si>
    <t>Блок питания</t>
  </si>
  <si>
    <t>Датчик</t>
  </si>
  <si>
    <t>EXTRAVERT 0,4*19</t>
  </si>
  <si>
    <t xml:space="preserve">ХДФ </t>
  </si>
  <si>
    <t>ХДФ</t>
  </si>
  <si>
    <t>Цвет</t>
  </si>
  <si>
    <t>LAMARTY 0,4*19</t>
  </si>
  <si>
    <t>LAMARTY 0,8*19</t>
  </si>
  <si>
    <t>LAMARTY 2*19</t>
  </si>
  <si>
    <t>LAMARTY 2*35</t>
  </si>
  <si>
    <t>Поставщик</t>
  </si>
  <si>
    <t>МФ-ГРУПП</t>
  </si>
  <si>
    <t>ЛЕМАКОМ</t>
  </si>
  <si>
    <t>Эксполайн</t>
  </si>
  <si>
    <t>СИТИ-АРТ</t>
  </si>
  <si>
    <t>IVEGO ПЛИТНЫЙ I категория (супермат)</t>
  </si>
  <si>
    <t>IVEGO ПЛИТНЫЙ II категория (софтмат,крафт)</t>
  </si>
  <si>
    <t>IVEGO ПЛИТНЫЙ III категория (акрил)</t>
  </si>
  <si>
    <t>IVEGO ПЛИТНЫЙ IV категория (акрил)</t>
  </si>
  <si>
    <t>IVEGO</t>
  </si>
  <si>
    <t>IVEGO ПВХ I категория (II группа фрезеровки)</t>
  </si>
  <si>
    <t>IVEGO ПВХ II категория (II группа фрезеровки)</t>
  </si>
  <si>
    <t>IVEGO ПВХ III категория (II группа фрезеровки)</t>
  </si>
  <si>
    <t>IVEGO ПВХ IV категория (II группа фрезеровки)</t>
  </si>
  <si>
    <t>IVEGO ПВХ V категория (II группа фрезеровки)</t>
  </si>
  <si>
    <t>IVEGO ПВХ I категория (I группа фрезеровки)</t>
  </si>
  <si>
    <t>IVEGO ПВХ II категория (I группа фрезеровки)</t>
  </si>
  <si>
    <t>IVEGO ПВХ III категория (I группа фрезеровки)</t>
  </si>
  <si>
    <t>IVEGO ПВХ IV категория (I группа фрезеровки)</t>
  </si>
  <si>
    <t>IVEGO ПВХ V категория (I группа фрезеровки)</t>
  </si>
  <si>
    <t>IVEGO ПВХ I категория (III группа фрезеровки)</t>
  </si>
  <si>
    <t>IVEGO ПВХ II категория (III группа фрезеровки)</t>
  </si>
  <si>
    <t>IVEGO ПВХ III категория (III группа фрезеровки)</t>
  </si>
  <si>
    <t>IVEGO ПВХ IV категория (III группа фрезеровки)</t>
  </si>
  <si>
    <t>IVEGO ПВХ V категория (III группа фрезеровки)</t>
  </si>
  <si>
    <t>IVEGO ПВХ I категория (IV группа фрезеровки)</t>
  </si>
  <si>
    <t>IVEGO ПВХ II категория (IV группа фрезеровки)</t>
  </si>
  <si>
    <t>IVEGO ПВХ III категория (IV группа фрезеровки)</t>
  </si>
  <si>
    <t>IVEGO ПВХ IV категория (IV группа фрезеровки)</t>
  </si>
  <si>
    <t>IVEGO ПВХ V категория (IV группа фрезеровки)</t>
  </si>
  <si>
    <t>Ашот</t>
  </si>
  <si>
    <t xml:space="preserve">МДФ КРАШЕННЫЙ (МАТОВЫЙ) </t>
  </si>
  <si>
    <t xml:space="preserve"> МДФ КРАШЕННЫЙ 2 СТОРОНЫ (МАТОВЫЙ) </t>
  </si>
  <si>
    <t xml:space="preserve">МДФ КРАШЕННЫЙ + ФРЕЗЕРОВКА (МАТОВЫЙ) </t>
  </si>
  <si>
    <t xml:space="preserve">МДФ КРАШЕННЫЙ (ГЛЯНЕЦ) </t>
  </si>
  <si>
    <t xml:space="preserve"> МДФ КРАШЕННЫЙ 2 СТОРОНЫ (ГЛЯНЕЦ) </t>
  </si>
  <si>
    <t xml:space="preserve">МДФ КРАШЕННЫЙ + ФРЕЗЕРОВКА (ГЛЯНЕЦ) </t>
  </si>
  <si>
    <t xml:space="preserve">МДФ КРАШЕННЫЙ + ФРЕЗЕРОВКА 2 СТОРОНЫ (МАТОВЫЙ) </t>
  </si>
  <si>
    <t xml:space="preserve">МДФ КРАШЕННЫЙ + ФРЕЗЕРОВКА 2 СТОРОНЫ (ГЛЯНЕЦ) </t>
  </si>
  <si>
    <t>ПЛИТНЫЙ</t>
  </si>
  <si>
    <t xml:space="preserve">EVOGLOSS 16мм </t>
  </si>
  <si>
    <t>EMDIWAY Titan 3108</t>
  </si>
  <si>
    <t>EMDIWAY (однотонные матовые и глянцевые декоры)</t>
  </si>
  <si>
    <t xml:space="preserve"> IVEGO</t>
  </si>
  <si>
    <t xml:space="preserve"> ЛАКОКРАСКА</t>
  </si>
  <si>
    <t xml:space="preserve">Петли Hettich (МП под евровинт) </t>
  </si>
  <si>
    <t xml:space="preserve">Петля Hettich накладная с доводчиком </t>
  </si>
  <si>
    <t xml:space="preserve">Петля Hettich полунакладная с доводчиком </t>
  </si>
  <si>
    <t xml:space="preserve">Петля Hettich вкладная с доводчиком </t>
  </si>
  <si>
    <t xml:space="preserve">Петля Hettich Ф/П с доводчиком </t>
  </si>
  <si>
    <t xml:space="preserve">Петля Hettich 165 с доводчиком </t>
  </si>
  <si>
    <t xml:space="preserve">Петля Hettich P20 накладная </t>
  </si>
  <si>
    <t xml:space="preserve">Петля Hettich под холодильник (поштучно) </t>
  </si>
  <si>
    <t>Петля Hettich для узкой алюм. Рамки (P2O)</t>
  </si>
  <si>
    <t xml:space="preserve">Петля Hettich для узкой алюм. Рамки (c доводчиком) </t>
  </si>
  <si>
    <t>Ящик внутренний Innotech Atira (c доводчиком)</t>
  </si>
  <si>
    <t>Ящик стандартный для низких фасадов Innotech Atira (c доводчиком)</t>
  </si>
  <si>
    <t>Ящик с 1м релингом для средних фасадов Innotech Atira (c доводчиком)</t>
  </si>
  <si>
    <t>Ящик с 2мя релингами для высоких фасадов Innotech Atira (c доводчиком)</t>
  </si>
  <si>
    <t>Ящик стандартный для низких фасадов Innotech Atira (P20)</t>
  </si>
  <si>
    <t>Ящик с 1м релингом для средних фасадов Innotech Atira (P20)</t>
  </si>
  <si>
    <t>Ящик с 2мя релингами для высоких фасадов Innotech Atira (P20)</t>
  </si>
  <si>
    <t xml:space="preserve">Ящик внутренний Avantech You высота 101мм (с доводчиком) </t>
  </si>
  <si>
    <t xml:space="preserve">Ящик стандартный для низких фасадов Avantech You высота 101мм (с доводчиком) </t>
  </si>
  <si>
    <t xml:space="preserve">Ящик для средних фасадов Avantech You высота 139мм (с доводчиком) </t>
  </si>
  <si>
    <t xml:space="preserve">Ящик для средних фасадов Avantech You высота 187мм (с доводчиком) </t>
  </si>
  <si>
    <t xml:space="preserve">Ящик для высоких фасадов Avantech You высота 251мм (с доводчиком) </t>
  </si>
  <si>
    <t xml:space="preserve">Ящик стандартный для низких фасадов Avantech You высота 101мм (P20 + доводчик) </t>
  </si>
  <si>
    <t xml:space="preserve">Ящик для средних фасадов Avantech You  высота 139мм (P20 + доводчик) </t>
  </si>
  <si>
    <t xml:space="preserve">Ящик  для высоких фасадов Avantech You  высота 187мм (P20 + доводчик) </t>
  </si>
  <si>
    <t xml:space="preserve">Ящик  для высоких фасадов Avantech You  высота 251мм (P20 + доводчик) </t>
  </si>
  <si>
    <t>ЯЩИКИ HETTICH</t>
  </si>
  <si>
    <t>ЭКСПОЛАЙН</t>
  </si>
  <si>
    <t>Ящик внутренний TANDEMBOX</t>
  </si>
  <si>
    <t>Ящик стандартный для низких фасадов TANDEMBOX</t>
  </si>
  <si>
    <t>Ящик с 1м релингом для средних фасадов TANDEMBOX</t>
  </si>
  <si>
    <t>Ящик с 2мя релингами для высоких фасадов TANDEMBOX</t>
  </si>
  <si>
    <t>Ящик стандартный для низких фасадов Tip-on Blumotion TANDEMBOX</t>
  </si>
  <si>
    <t>Ящик с 1м релингом для средних фасадов Tip-on Blumotion TANDEMBOX</t>
  </si>
  <si>
    <t>Ящик с 2мя релингами для высоких фасадов Tip-on Blumotion TANDEMBOX</t>
  </si>
  <si>
    <t>LEGRABOX С ДОВОЧИКОМ</t>
  </si>
  <si>
    <t>СТАРТ С ДОВОДЧИКОМ</t>
  </si>
  <si>
    <t>ЭФТРИ</t>
  </si>
  <si>
    <t>ФАСАДЫ ПВХ ЭФТРИ ПРОСТАЯ ФРЕЗЕРОВКА (Т,М) (I ГРУППА) 10/16 мм</t>
  </si>
  <si>
    <t>ФАСАДЫ ПВХ ЭФТРИ ПРОСТАЯ ФРЕЗЕРОВКА (Т,М) (II ГРУППА) 10/16 мм</t>
  </si>
  <si>
    <t>ФАСАДЫ ПВХ ЭФТРИ СЛОЖНАЯ ФРЕЗЕРОВКА (К) (II ГРУППА) 10/16 мм</t>
  </si>
  <si>
    <t>ФАСАДЫ ПВХ ЭФТРИ СЛОЖНАЯ ФРЕЗЕРОВКА (К) (I ГРУППА) 10/16 мм</t>
  </si>
  <si>
    <t>ФАСАДЫ ПВХ ЭФТРИ ПРЕМИУМ ФРЕЗЕРОВКА (С,Д) (I ГРУППА) 10/16 мм</t>
  </si>
  <si>
    <t>ФАСАДЫ ПВХ ЭФТРИ ПРЕМИУМ ФРЕЗЕРОВКА (С,Д) (II ГРУППА) 10/16 мм</t>
  </si>
  <si>
    <t>ФАСАДЫ ПВХ ЭФТРИ ПРОСТАЯ ФРЕЗЕРОВКА (Т,М) (I ГРУППА) 18/19 мм</t>
  </si>
  <si>
    <t>ФАСАДЫ ПВХ ЭФТРИ ПРОСТАЯ ФРЕЗЕРОВКА (Т,М) (II ГРУППА) 18/19 мм</t>
  </si>
  <si>
    <t>ФАСАДЫ ПВХ ЭФТРИ СЛОЖНАЯ ФРЕЗЕРОВКА (К) (I ГРУППА) 18/19 мм</t>
  </si>
  <si>
    <t>ФАСАДЫ ПВХ ЭФТРИ СЛОЖНАЯ ФРЕЗЕРОВКА (К) (II ГРУППА) 18/19 мм</t>
  </si>
  <si>
    <t>ФАСАДЫ ПВХ ЭФТРИ ПРЕМИУМ ФРЕЗЕРОВКА (С,Д) (I ГРУППА) 18/19 мм</t>
  </si>
  <si>
    <t>ФАСАДЫ ПВХ ЭФТРИ ПРЕМИУМ ФРЕЗЕРОВКА (С,Д) (II ГРУППА) 18/19 мм</t>
  </si>
  <si>
    <t>ФАСАДЫ ПВХ ЭФТРИ ПРЕМИУМ ФРЕЗЕРОВКА (С26) (I ГРУППА) 18/19 мм</t>
  </si>
  <si>
    <t>ФАСАДЫ ПВХ ЭФТРИ ПРЕМИУМ ФРЕЗЕРОВКА (С26) (II ГРУППА) 18/19 мм</t>
  </si>
  <si>
    <t>ФАСАДЫ ПВХ ЭФТРИ БКЗ ФРЕЗЕРОВКИ (I ГРУППА) 22 мм</t>
  </si>
  <si>
    <t>ФАСАДЫ ПВХ ЭФТРИ БКЗ ФРЕЗЕРОВКИ (II ГРУППА) 22 мм</t>
  </si>
  <si>
    <t>ФАСАДЫ ПВХ ЭФТРИ ПРЕМИУМ ФРЕЗЕРОВКА (С28,C29) (I ГРУППА) 22 мм</t>
  </si>
  <si>
    <t>ФАСАДЫ ПВХ ЭФТРИ ПРЕМИУМ ФРЕЗЕРОВКА (С28,C29) (II ГРУППА) 22 мм</t>
  </si>
  <si>
    <t>ФАСАДЫ АКРИЛОВЫЕ 18ММ ГЛЯНЕЦ</t>
  </si>
  <si>
    <t>ФАСАДЫ АКРИЛОВЫЕ 18ММ ГЛЯНЕЦ МЕТАЛЛИК</t>
  </si>
  <si>
    <t>ФАСАДЫ АКРИЛОВЫЕ 18ММ МАТОВЫЙ</t>
  </si>
  <si>
    <t>ФАСАДЫ АКРИЛОВЫЕ 18ММ МАТОВЫЙ МЕТАЛЛИК</t>
  </si>
  <si>
    <t>ПВХ</t>
  </si>
  <si>
    <t>АКРИЛОВЫЕ</t>
  </si>
  <si>
    <t>ШПОН</t>
  </si>
  <si>
    <t>ЯСЕНЬ ДАЛЬНЕВОСТОЧНЫЙ</t>
  </si>
  <si>
    <t>DUNA 550C
DUNA 580S</t>
  </si>
  <si>
    <t>BIANCHE NOTTI 03S
BIANCHE NOTTI 03C
BIANCHE NOTTI 154S
BIANCHE NOTTI 154C
DUNA 605S
DUNA 605C
ESPRESSO 1180S</t>
  </si>
  <si>
    <t>BIANCHE NOTTI 01Q</t>
  </si>
  <si>
    <t>ESPRESSO 021C
ALBERO 310S
ESPRESSO CHOKOLATE S</t>
  </si>
  <si>
    <t>DUNA 609S
DUNA 609C</t>
  </si>
  <si>
    <t>DUNA 11S</t>
  </si>
  <si>
    <t>TANDEM ДОВОДЧИК</t>
  </si>
  <si>
    <t>TANDEM TIP-ON</t>
  </si>
  <si>
    <t>MOVENTO ДОВОДЧИК</t>
  </si>
  <si>
    <t>MOVENTO TIP-ON</t>
  </si>
  <si>
    <t>TANDEMBOX ANTARO С ДОВОЧИКОМ</t>
  </si>
  <si>
    <t>TANDEMBOX ANTARO  TIPON BLUMOTION</t>
  </si>
  <si>
    <t>СТЕКЛО</t>
  </si>
  <si>
    <t>Стекло графит</t>
  </si>
  <si>
    <t>Стекло бронза</t>
  </si>
  <si>
    <t>Стекло каленное</t>
  </si>
  <si>
    <t>эмаль радиусные и не стандартные элементы</t>
  </si>
  <si>
    <t>текстуры</t>
  </si>
  <si>
    <t>однотон</t>
  </si>
  <si>
    <t xml:space="preserve">Столешница ЛДСП </t>
  </si>
  <si>
    <t>безнал:</t>
  </si>
  <si>
    <t>ИТОГО за наличку:</t>
  </si>
  <si>
    <t>EXTRAVERT 0,8*35</t>
  </si>
  <si>
    <t>комплектующие к шкафам</t>
  </si>
  <si>
    <t>EGGER ЛМДФ</t>
  </si>
  <si>
    <t xml:space="preserve">EGGER ЛДСП </t>
  </si>
  <si>
    <t>LAMARTY</t>
  </si>
  <si>
    <t>ТОМЛЕСДРЕВ</t>
  </si>
  <si>
    <t>Петля Боярд EVO 90°</t>
  </si>
  <si>
    <t>Петля мебельная без пружины накладная 90°</t>
  </si>
  <si>
    <t>Петля Боярд EVO 155°</t>
  </si>
  <si>
    <t>Петля Боярд для узкой алюм. Рамки (только с доводчиком) черная, никель</t>
  </si>
  <si>
    <t>Петля Боярд для узкой алюм. Рамки без доводчика черная никель</t>
  </si>
  <si>
    <t>Петля EVO Ф/П 180°, 45° (с пружиной, без пружины)</t>
  </si>
  <si>
    <t>Петля Блюм накладная 110°</t>
  </si>
  <si>
    <t>Петля Блюм полунакладная 110°</t>
  </si>
  <si>
    <t>Петля Блюм вкладная 110°</t>
  </si>
  <si>
    <t>Петля Блюм Ф/П 180°</t>
  </si>
  <si>
    <t>Петля Блюм 155°</t>
  </si>
  <si>
    <t>Blum холодильник ком. из 5ти петель</t>
  </si>
  <si>
    <t>Петля Блюм для узкой алюм. Рамки (только без пружины) хром сатин</t>
  </si>
  <si>
    <t>Петля Блюм для узкой алюм. Рамки (только без пружины) черная</t>
  </si>
  <si>
    <t>Складной подъемник HF только с доводчиком</t>
  </si>
  <si>
    <t>Поворотный подъемник HK-XS (1 рычаг)
(для маленьких фасадов) с доводчиком (для алюм +450)</t>
  </si>
  <si>
    <t>Поворотный подъемник HK-XS (1 рычага)
(для средних фасадов) без доводчика (для алюм +450)</t>
  </si>
  <si>
    <t>Поворотный подъемник HK-XS (2 рычага)
(для средних фасадов) с доводчиком (для алюм +900)</t>
  </si>
  <si>
    <t>Поворотный подъемник HK-XS (2 рычага)
(для средних фасадов) без доводчика (для алюм +900)</t>
  </si>
  <si>
    <t xml:space="preserve">Поворотный подъемник HK-S (2 рычага) с доводчиком </t>
  </si>
  <si>
    <t>Поворотный подъемник HK-XS (2 рычага) без доводчика</t>
  </si>
  <si>
    <t>Поворотный подъемник HK top 
(для больших тяжелых фасадов) с доводчиком (+1800 для алюм)</t>
  </si>
  <si>
    <t>Поворотный подъемник HK top (для больших тяжелых фасадов) без доводчика (+1800 для алюм)</t>
  </si>
  <si>
    <t>Ящик внутренний Tip-on TANDEMBOX</t>
  </si>
  <si>
    <t>Ящик стандартный для низких фасадов LEGRABOX</t>
  </si>
  <si>
    <t>Ящик под духовку TANDEMBOX</t>
  </si>
  <si>
    <t>Ящик  для средних фасадов LEGRABOX 144мм</t>
  </si>
  <si>
    <t>Ящик  для высоких фасадов LEGRABOX 193 мм</t>
  </si>
  <si>
    <t>Ящик  для высоких фасадов LEGRABOX 257 мм</t>
  </si>
  <si>
    <t>LEGRABOX TIP ON BLUMOTION</t>
  </si>
  <si>
    <t>Ящик внутренний LEGRABOX TI PON</t>
  </si>
  <si>
    <t>Ящик стандартный для низких фасадов LEGRABOX TIP ON</t>
  </si>
  <si>
    <t>Ящик  для средних фасадов LEGRABOX 144мм TIP ON</t>
  </si>
  <si>
    <t>Ящик  для высоких фасадов LEGRABOX 193 мм TIP ON</t>
  </si>
  <si>
    <t>Ящик  для высоких фасадов LEGRABOX 257 мм TIP ON</t>
  </si>
  <si>
    <t>Ящик под духовкуLEGRABOX TIP ON</t>
  </si>
  <si>
    <t>Ящик под духовку LEGRABOX</t>
  </si>
  <si>
    <t xml:space="preserve">Ящик внутренний LEGRABOX </t>
  </si>
  <si>
    <t>СТАРТ PUSH SOFT От нажатия с доводчиком</t>
  </si>
  <si>
    <t xml:space="preserve">НАПРАВЛЯЮЩИЕ BLUM </t>
  </si>
  <si>
    <t>комплект синхронизаторов</t>
  </si>
  <si>
    <t>Направлющие скрытого монтажа Movento Tip-on Blumotion 270</t>
  </si>
  <si>
    <t>Направляющие скрытого монтажа доводчик 550 только 2D</t>
  </si>
  <si>
    <t>Направляющие скрытого монтажа доводчик 250 только 2D</t>
  </si>
  <si>
    <t>BOYARD С ДОВОДЧИКОМ 3D полного выдвижения</t>
  </si>
  <si>
    <t>BOYARD PUSH-OPEN полного выдвижения</t>
  </si>
  <si>
    <t xml:space="preserve">БУТЫЛОЧНИЦЫ </t>
  </si>
  <si>
    <t>Выдвижная корзина 2-х уровн.(150) Flora BOYARD Плоский пруток</t>
  </si>
  <si>
    <t>Выдвижная корзина 2-х уровн.(200) Flora BOYARD Плоский пруток</t>
  </si>
  <si>
    <t>Выдвижная корзина 2-х уровн.(150) Flora BOYARD круглый пруток</t>
  </si>
  <si>
    <t>Выдвижная корзина 2-х уровн.(200) Flora BOYARD круглый пруток</t>
  </si>
  <si>
    <t xml:space="preserve">GOLA профиль G-образный для нижних баз с LED подсветкой 4 м </t>
  </si>
  <si>
    <t xml:space="preserve">GOLA профиль G-образный для верхних баз с LED подсветкой 4 м </t>
  </si>
  <si>
    <t xml:space="preserve">GOLA профиль G-образный для нижних баз с LED подсветкой 6 м </t>
  </si>
  <si>
    <t xml:space="preserve">GOLA профиль G-образный для верхних баз с LED подсветкой 6 м </t>
  </si>
  <si>
    <t>решетка вентиляции</t>
  </si>
  <si>
    <t>Ручка торцевая</t>
  </si>
  <si>
    <t>белый</t>
  </si>
  <si>
    <t>крючки</t>
  </si>
  <si>
    <t>толкатель врезной</t>
  </si>
  <si>
    <t>металл опора</t>
  </si>
  <si>
    <t>газлифты</t>
  </si>
  <si>
    <t xml:space="preserve">складные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</si>
</sst>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</patternFill>
    </fill>
    <fill>
      <patternFill patternType="solid">
        <fgColor rgb="FF009ED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thin">
        <color auto="1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 style="double">
        <color rgb="FF3F3F3F"/>
      </right>
      <top/>
      <bottom/>
      <diagonal/>
    </border>
    <border>
      <left/>
      <right style="double">
        <color rgb="FF3F3F3F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/>
      <top style="double">
        <color rgb="FF3F3F3F"/>
      </top>
      <bottom style="thin">
        <color auto="1"/>
      </bottom>
      <diagonal/>
    </border>
    <border>
      <left/>
      <right style="thin">
        <color auto="1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</borders>
  <cellStyleXfs count="4">
    <xf numFmtId="0" fontId="0" fillId="0" borderId="0"/>
    <xf numFmtId="0" fontId="2" fillId="0" borderId="0"/>
    <xf numFmtId="0" fontId="4" fillId="4" borderId="3" applyNumberFormat="0" applyAlignment="0" applyProtection="0"/>
    <xf numFmtId="0" fontId="1" fillId="0" borderId="0"/>
  </cellStyleXfs>
  <cellXfs count="97">
    <xf numFmtId="0" fontId="0" fillId="0" borderId="0" xfId="0"/>
    <xf numFmtId="0" fontId="3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5" fillId="4" borderId="3" xfId="2" applyFont="1" applyAlignment="1">
      <alignment horizontal="center" vertical="center"/>
    </xf>
    <xf numFmtId="4" fontId="5" fillId="4" borderId="3" xfId="2" applyNumberFormat="1" applyFont="1" applyAlignment="1">
      <alignment horizontal="center" vertical="center"/>
    </xf>
    <xf numFmtId="0" fontId="10" fillId="3" borderId="3" xfId="2" applyFont="1" applyFill="1" applyAlignment="1">
      <alignment horizontal="center" vertical="center" wrapText="1"/>
    </xf>
    <xf numFmtId="0" fontId="5" fillId="4" borderId="3" xfId="2" applyFont="1" applyAlignment="1">
      <alignment horizontal="center" vertical="center" wrapText="1"/>
    </xf>
    <xf numFmtId="164" fontId="5" fillId="4" borderId="3" xfId="2" applyNumberFormat="1" applyFont="1" applyAlignment="1">
      <alignment horizontal="center" vertical="center"/>
    </xf>
    <xf numFmtId="0" fontId="2" fillId="0" borderId="1" xfId="1" applyBorder="1"/>
    <xf numFmtId="0" fontId="10" fillId="3" borderId="4" xfId="2" applyFont="1" applyFill="1" applyBorder="1" applyAlignment="1">
      <alignment horizontal="center" vertical="center" wrapText="1"/>
    </xf>
    <xf numFmtId="0" fontId="3" fillId="0" borderId="8" xfId="0" applyFont="1" applyBorder="1"/>
    <xf numFmtId="0" fontId="6" fillId="8" borderId="3" xfId="2" applyFont="1" applyFill="1" applyAlignment="1">
      <alignment horizontal="center" vertical="center" wrapText="1"/>
    </xf>
    <xf numFmtId="0" fontId="6" fillId="8" borderId="4" xfId="2" applyFont="1" applyFill="1" applyBorder="1" applyAlignment="1">
      <alignment horizontal="center" vertical="center" wrapText="1"/>
    </xf>
    <xf numFmtId="0" fontId="6" fillId="8" borderId="6" xfId="2" applyFont="1" applyFill="1" applyBorder="1" applyAlignment="1">
      <alignment horizontal="center" vertical="center" wrapText="1"/>
    </xf>
    <xf numFmtId="0" fontId="6" fillId="6" borderId="3" xfId="2" applyFont="1" applyFill="1" applyAlignment="1">
      <alignment horizontal="center" vertical="center" wrapText="1"/>
    </xf>
    <xf numFmtId="0" fontId="6" fillId="6" borderId="3" xfId="2" applyFont="1" applyFill="1" applyAlignment="1">
      <alignment horizontal="center" vertical="center"/>
    </xf>
    <xf numFmtId="0" fontId="6" fillId="9" borderId="3" xfId="2" applyFont="1" applyFill="1" applyAlignment="1">
      <alignment horizontal="center" vertical="center"/>
    </xf>
    <xf numFmtId="0" fontId="6" fillId="8" borderId="3" xfId="2" applyFont="1" applyFill="1" applyAlignment="1">
      <alignment horizontal="center" vertical="center"/>
    </xf>
    <xf numFmtId="0" fontId="6" fillId="8" borderId="4" xfId="2" applyFont="1" applyFill="1" applyBorder="1" applyAlignment="1">
      <alignment horizontal="center"/>
    </xf>
    <xf numFmtId="0" fontId="10" fillId="3" borderId="3" xfId="2" applyFont="1" applyFill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5" fillId="6" borderId="3" xfId="2" applyFont="1" applyFill="1" applyAlignment="1">
      <alignment horizontal="center" vertical="center"/>
    </xf>
    <xf numFmtId="0" fontId="6" fillId="8" borderId="4" xfId="2" applyFont="1" applyFill="1" applyBorder="1" applyAlignment="1">
      <alignment horizontal="center" vertical="center"/>
    </xf>
    <xf numFmtId="0" fontId="5" fillId="6" borderId="3" xfId="2" applyFont="1" applyFill="1" applyAlignment="1">
      <alignment vertical="center"/>
    </xf>
    <xf numFmtId="0" fontId="6" fillId="6" borderId="3" xfId="2" applyFont="1" applyFill="1" applyAlignment="1"/>
    <xf numFmtId="0" fontId="11" fillId="4" borderId="3" xfId="2" applyFont="1" applyAlignment="1">
      <alignment horizontal="center" vertical="center"/>
    </xf>
    <xf numFmtId="0" fontId="6" fillId="4" borderId="3" xfId="2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" fillId="6" borderId="3" xfId="2" applyFont="1" applyFill="1" applyAlignment="1">
      <alignment horizontal="center" vertical="center" wrapText="1"/>
    </xf>
    <xf numFmtId="0" fontId="6" fillId="12" borderId="3" xfId="2" applyFont="1" applyFill="1" applyAlignment="1">
      <alignment horizontal="center" vertical="center"/>
    </xf>
    <xf numFmtId="0" fontId="6" fillId="4" borderId="17" xfId="2" applyFont="1" applyBorder="1" applyAlignment="1">
      <alignment horizontal="center" vertical="center"/>
    </xf>
    <xf numFmtId="0" fontId="13" fillId="0" borderId="0" xfId="0" applyFont="1"/>
    <xf numFmtId="0" fontId="6" fillId="4" borderId="3" xfId="2" applyFont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/>
    <xf numFmtId="0" fontId="4" fillId="4" borderId="15" xfId="2" applyBorder="1" applyAlignment="1">
      <alignment vertical="center" wrapText="1"/>
    </xf>
    <xf numFmtId="0" fontId="4" fillId="4" borderId="16" xfId="2" applyBorder="1" applyAlignment="1">
      <alignment vertical="center" wrapText="1"/>
    </xf>
    <xf numFmtId="0" fontId="4" fillId="4" borderId="9" xfId="2" applyBorder="1" applyAlignment="1">
      <alignment vertical="center" wrapText="1"/>
    </xf>
    <xf numFmtId="0" fontId="4" fillId="4" borderId="20" xfId="2" applyBorder="1" applyAlignment="1">
      <alignment vertical="center" wrapText="1"/>
    </xf>
    <xf numFmtId="0" fontId="4" fillId="4" borderId="0" xfId="2" applyBorder="1" applyAlignment="1">
      <alignment vertical="center" wrapText="1"/>
    </xf>
    <xf numFmtId="0" fontId="4" fillId="4" borderId="10" xfId="2" applyBorder="1" applyAlignment="1">
      <alignment vertical="center" wrapText="1"/>
    </xf>
    <xf numFmtId="0" fontId="4" fillId="4" borderId="21" xfId="2" applyBorder="1" applyAlignment="1">
      <alignment vertical="center" wrapText="1"/>
    </xf>
    <xf numFmtId="0" fontId="4" fillId="4" borderId="22" xfId="2" applyBorder="1" applyAlignment="1">
      <alignment vertical="center" wrapText="1"/>
    </xf>
    <xf numFmtId="0" fontId="4" fillId="4" borderId="23" xfId="2" applyBorder="1" applyAlignment="1">
      <alignment vertical="center" wrapText="1"/>
    </xf>
    <xf numFmtId="0" fontId="6" fillId="14" borderId="4" xfId="2" applyFont="1" applyFill="1" applyBorder="1" applyAlignment="1">
      <alignment horizontal="center" vertical="center" wrapText="1"/>
    </xf>
    <xf numFmtId="0" fontId="6" fillId="14" borderId="6" xfId="2" applyFont="1" applyFill="1" applyBorder="1" applyAlignment="1">
      <alignment horizontal="center" vertical="center" wrapText="1"/>
    </xf>
    <xf numFmtId="0" fontId="8" fillId="7" borderId="4" xfId="2" applyFont="1" applyFill="1" applyBorder="1" applyAlignment="1">
      <alignment horizontal="center" vertical="center" wrapText="1"/>
    </xf>
    <xf numFmtId="0" fontId="8" fillId="7" borderId="6" xfId="2" applyFont="1" applyFill="1" applyBorder="1" applyAlignment="1">
      <alignment horizontal="center" vertical="center" wrapText="1"/>
    </xf>
    <xf numFmtId="0" fontId="8" fillId="7" borderId="7" xfId="2" applyFont="1" applyFill="1" applyBorder="1" applyAlignment="1">
      <alignment horizontal="center" vertical="center" wrapText="1"/>
    </xf>
    <xf numFmtId="0" fontId="9" fillId="11" borderId="4" xfId="2" applyFont="1" applyFill="1" applyBorder="1" applyAlignment="1">
      <alignment horizontal="center" vertical="center" wrapText="1"/>
    </xf>
    <xf numFmtId="0" fontId="9" fillId="11" borderId="6" xfId="2" applyFont="1" applyFill="1" applyBorder="1" applyAlignment="1">
      <alignment horizontal="center" vertical="center" wrapText="1"/>
    </xf>
    <xf numFmtId="0" fontId="9" fillId="14" borderId="4" xfId="2" applyFont="1" applyFill="1" applyBorder="1" applyAlignment="1">
      <alignment horizontal="center" vertical="center" wrapText="1"/>
    </xf>
    <xf numFmtId="0" fontId="9" fillId="14" borderId="6" xfId="2" applyFont="1" applyFill="1" applyBorder="1" applyAlignment="1">
      <alignment horizontal="center" vertical="center" wrapText="1"/>
    </xf>
    <xf numFmtId="0" fontId="5" fillId="4" borderId="4" xfId="2" applyFont="1" applyBorder="1" applyAlignment="1">
      <alignment horizontal="center" vertical="center" wrapText="1"/>
    </xf>
    <xf numFmtId="0" fontId="5" fillId="4" borderId="6" xfId="2" applyFont="1" applyBorder="1" applyAlignment="1">
      <alignment horizontal="center" vertical="center" wrapText="1"/>
    </xf>
    <xf numFmtId="0" fontId="9" fillId="11" borderId="7" xfId="2" applyFont="1" applyFill="1" applyBorder="1" applyAlignment="1">
      <alignment horizontal="center" vertical="center" wrapText="1"/>
    </xf>
    <xf numFmtId="0" fontId="10" fillId="15" borderId="4" xfId="2" applyFont="1" applyFill="1" applyBorder="1" applyAlignment="1">
      <alignment horizontal="center" vertical="center" wrapText="1"/>
    </xf>
    <xf numFmtId="0" fontId="10" fillId="15" borderId="6" xfId="2" applyFont="1" applyFill="1" applyBorder="1" applyAlignment="1">
      <alignment horizontal="center" vertical="center" wrapText="1"/>
    </xf>
    <xf numFmtId="0" fontId="9" fillId="7" borderId="4" xfId="2" applyFont="1" applyFill="1" applyBorder="1" applyAlignment="1">
      <alignment horizontal="center" vertical="center" wrapText="1"/>
    </xf>
    <xf numFmtId="0" fontId="9" fillId="7" borderId="6" xfId="2" applyFont="1" applyFill="1" applyBorder="1" applyAlignment="1">
      <alignment horizontal="center" vertical="center" wrapText="1"/>
    </xf>
    <xf numFmtId="0" fontId="9" fillId="7" borderId="7" xfId="2" applyFont="1" applyFill="1" applyBorder="1" applyAlignment="1">
      <alignment horizontal="center" vertical="center" wrapText="1"/>
    </xf>
    <xf numFmtId="0" fontId="8" fillId="13" borderId="4" xfId="2" applyFont="1" applyFill="1" applyBorder="1" applyAlignment="1">
      <alignment horizontal="center" vertical="center" wrapText="1"/>
    </xf>
    <xf numFmtId="0" fontId="8" fillId="13" borderId="6" xfId="2" applyFont="1" applyFill="1" applyBorder="1" applyAlignment="1">
      <alignment horizontal="center" vertical="center" wrapText="1"/>
    </xf>
    <xf numFmtId="0" fontId="9" fillId="5" borderId="4" xfId="2" applyFont="1" applyFill="1" applyBorder="1" applyAlignment="1">
      <alignment horizontal="center" vertical="center" wrapText="1"/>
    </xf>
    <xf numFmtId="0" fontId="9" fillId="5" borderId="6" xfId="2" applyFont="1" applyFill="1" applyBorder="1" applyAlignment="1">
      <alignment horizontal="center" vertical="center" wrapText="1"/>
    </xf>
    <xf numFmtId="0" fontId="9" fillId="5" borderId="7" xfId="2" applyFont="1" applyFill="1" applyBorder="1" applyAlignment="1">
      <alignment horizontal="center" vertical="center" wrapText="1"/>
    </xf>
    <xf numFmtId="164" fontId="6" fillId="12" borderId="15" xfId="2" applyNumberFormat="1" applyFont="1" applyFill="1" applyBorder="1" applyAlignment="1">
      <alignment horizontal="center" vertical="center"/>
    </xf>
    <xf numFmtId="164" fontId="6" fillId="12" borderId="16" xfId="2" applyNumberFormat="1" applyFont="1" applyFill="1" applyBorder="1" applyAlignment="1">
      <alignment horizontal="center" vertical="center"/>
    </xf>
    <xf numFmtId="0" fontId="8" fillId="9" borderId="4" xfId="2" applyFont="1" applyFill="1" applyBorder="1" applyAlignment="1">
      <alignment horizontal="center" vertical="center" wrapText="1"/>
    </xf>
    <xf numFmtId="0" fontId="8" fillId="9" borderId="6" xfId="2" applyFont="1" applyFill="1" applyBorder="1" applyAlignment="1">
      <alignment horizontal="center" vertical="center" wrapText="1"/>
    </xf>
    <xf numFmtId="0" fontId="8" fillId="9" borderId="7" xfId="2" applyFont="1" applyFill="1" applyBorder="1" applyAlignment="1">
      <alignment horizontal="center" vertical="center" wrapText="1"/>
    </xf>
    <xf numFmtId="164" fontId="6" fillId="9" borderId="4" xfId="2" applyNumberFormat="1" applyFont="1" applyFill="1" applyBorder="1" applyAlignment="1">
      <alignment horizontal="center" vertical="center"/>
    </xf>
    <xf numFmtId="164" fontId="6" fillId="9" borderId="5" xfId="2" applyNumberFormat="1" applyFont="1" applyFill="1" applyBorder="1" applyAlignment="1">
      <alignment horizontal="center" vertical="center"/>
    </xf>
    <xf numFmtId="164" fontId="5" fillId="4" borderId="4" xfId="2" applyNumberFormat="1" applyFont="1" applyBorder="1" applyAlignment="1">
      <alignment horizontal="center" vertical="center"/>
    </xf>
    <xf numFmtId="164" fontId="5" fillId="4" borderId="5" xfId="2" applyNumberFormat="1" applyFont="1" applyBorder="1" applyAlignment="1">
      <alignment horizontal="center" vertical="center"/>
    </xf>
    <xf numFmtId="0" fontId="8" fillId="9" borderId="4" xfId="2" applyFont="1" applyFill="1" applyBorder="1" applyAlignment="1">
      <alignment horizontal="center" vertical="center"/>
    </xf>
    <xf numFmtId="0" fontId="8" fillId="9" borderId="6" xfId="2" applyFont="1" applyFill="1" applyBorder="1" applyAlignment="1">
      <alignment horizontal="center" vertical="center"/>
    </xf>
    <xf numFmtId="0" fontId="8" fillId="9" borderId="7" xfId="2" applyFont="1" applyFill="1" applyBorder="1" applyAlignment="1">
      <alignment horizontal="center" vertical="center"/>
    </xf>
    <xf numFmtId="0" fontId="8" fillId="7" borderId="4" xfId="2" applyFont="1" applyFill="1" applyBorder="1" applyAlignment="1">
      <alignment horizontal="center" vertical="center"/>
    </xf>
    <xf numFmtId="0" fontId="8" fillId="7" borderId="6" xfId="2" applyFont="1" applyFill="1" applyBorder="1" applyAlignment="1">
      <alignment horizontal="center" vertical="center"/>
    </xf>
    <xf numFmtId="0" fontId="8" fillId="7" borderId="7" xfId="2" applyFont="1" applyFill="1" applyBorder="1" applyAlignment="1">
      <alignment horizontal="center" vertical="center"/>
    </xf>
    <xf numFmtId="0" fontId="8" fillId="10" borderId="4" xfId="2" applyFont="1" applyFill="1" applyBorder="1" applyAlignment="1">
      <alignment horizontal="center" vertical="center"/>
    </xf>
    <xf numFmtId="0" fontId="8" fillId="10" borderId="6" xfId="2" applyFont="1" applyFill="1" applyBorder="1" applyAlignment="1">
      <alignment horizontal="center" vertical="center"/>
    </xf>
    <xf numFmtId="0" fontId="8" fillId="10" borderId="7" xfId="2" applyFont="1" applyFill="1" applyBorder="1" applyAlignment="1">
      <alignment horizontal="center" vertical="center"/>
    </xf>
    <xf numFmtId="0" fontId="8" fillId="10" borderId="4" xfId="2" applyFont="1" applyFill="1" applyBorder="1" applyAlignment="1">
      <alignment horizontal="center"/>
    </xf>
    <xf numFmtId="0" fontId="8" fillId="10" borderId="6" xfId="2" applyFont="1" applyFill="1" applyBorder="1" applyAlignment="1">
      <alignment horizontal="center"/>
    </xf>
    <xf numFmtId="0" fontId="8" fillId="10" borderId="7" xfId="2" applyFont="1" applyFill="1" applyBorder="1" applyAlignment="1">
      <alignment horizontal="center"/>
    </xf>
    <xf numFmtId="164" fontId="6" fillId="12" borderId="18" xfId="2" applyNumberFormat="1" applyFont="1" applyFill="1" applyBorder="1" applyAlignment="1">
      <alignment horizontal="center" vertical="center"/>
    </xf>
    <xf numFmtId="164" fontId="6" fillId="12" borderId="19" xfId="2" applyNumberFormat="1" applyFont="1" applyFill="1" applyBorder="1" applyAlignment="1">
      <alignment horizontal="center" vertical="center"/>
    </xf>
    <xf numFmtId="0" fontId="6" fillId="4" borderId="9" xfId="2" applyFont="1" applyBorder="1" applyAlignment="1">
      <alignment horizontal="center" vertical="center"/>
    </xf>
    <xf numFmtId="0" fontId="6" fillId="4" borderId="10" xfId="2" applyFont="1" applyBorder="1" applyAlignment="1">
      <alignment horizontal="center" vertical="center"/>
    </xf>
    <xf numFmtId="0" fontId="6" fillId="4" borderId="11" xfId="2" applyFont="1" applyBorder="1" applyAlignment="1">
      <alignment horizontal="center" vertical="center"/>
    </xf>
    <xf numFmtId="3" fontId="6" fillId="8" borderId="4" xfId="2" applyNumberFormat="1" applyFont="1" applyFill="1" applyBorder="1" applyAlignment="1">
      <alignment horizontal="center" vertical="center" wrapText="1"/>
    </xf>
    <xf numFmtId="3" fontId="6" fillId="8" borderId="6" xfId="2" applyNumberFormat="1" applyFont="1" applyFill="1" applyBorder="1" applyAlignment="1">
      <alignment horizontal="center" vertical="center" wrapText="1"/>
    </xf>
    <xf numFmtId="0" fontId="4" fillId="4" borderId="12" xfId="2" applyBorder="1" applyAlignment="1">
      <alignment horizontal="center" vertical="center" wrapText="1"/>
    </xf>
    <xf numFmtId="0" fontId="4" fillId="4" borderId="13" xfId="2" applyBorder="1" applyAlignment="1">
      <alignment horizontal="center" vertical="center" wrapText="1"/>
    </xf>
    <xf numFmtId="0" fontId="4" fillId="4" borderId="14" xfId="2" applyBorder="1" applyAlignment="1">
      <alignment horizontal="center" vertical="center" wrapText="1"/>
    </xf>
  </cellXfs>
  <cellStyles count="4">
    <cellStyle name="Контрольная ячейка" xfId="2" builtinId="23"/>
    <cellStyle name="Обычный" xfId="0" builtinId="0"/>
    <cellStyle name="Обычный 2" xfId="1" xr:uid="{00000000-0005-0000-0000-000002000000}"/>
    <cellStyle name="Обычный 2 2" xfId="3" xr:uid="{00000000-0005-0000-0000-000003000000}"/>
  </cellStyles>
  <dxfs count="0"/>
  <tableStyles count="0" defaultTableStyle="TableStyleMedium2" defaultPivotStyle="PivotStyleMedium9"/>
  <colors>
    <mruColors>
      <color rgb="FF0099FF"/>
      <color rgb="FFB1A0C7"/>
      <color rgb="FF3399FF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Бумажная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BFF4-6FBD-4F56-8344-A934B9121469}">
  <dimension ref="A1:H355"/>
  <sheetViews>
    <sheetView tabSelected="1" zoomScale="69" zoomScaleNormal="60" workbookViewId="0">
      <selection activeCell="E347" sqref="E347"/>
    </sheetView>
  </sheetViews>
  <sheetFormatPr defaultColWidth="38.7109375" defaultRowHeight="15" x14ac:dyDescent="0.25"/>
  <cols>
    <col min="1" max="1" width="69.140625" customWidth="1"/>
    <col min="2" max="2" width="14.5703125" customWidth="1"/>
    <col min="3" max="3" width="19.85546875" customWidth="1"/>
    <col min="4" max="4" width="31.140625" customWidth="1"/>
    <col min="5" max="5" width="18.5703125" style="33" customWidth="1"/>
    <col min="6" max="6" width="24.85546875" bestFit="1" customWidth="1"/>
    <col min="7" max="7" width="79.7109375" customWidth="1"/>
  </cols>
  <sheetData>
    <row r="1" spans="1:7" ht="22.5" thickTop="1" thickBot="1" x14ac:dyDescent="0.3">
      <c r="A1" s="5" t="s">
        <v>0</v>
      </c>
      <c r="B1" s="5" t="s">
        <v>183</v>
      </c>
      <c r="C1" s="5" t="s">
        <v>188</v>
      </c>
      <c r="D1" s="5" t="s">
        <v>2</v>
      </c>
      <c r="E1" s="5" t="s">
        <v>1</v>
      </c>
      <c r="F1" s="9" t="s">
        <v>3</v>
      </c>
    </row>
    <row r="2" spans="1:7" ht="24.75" thickTop="1" thickBot="1" x14ac:dyDescent="0.3">
      <c r="A2" s="46" t="s">
        <v>42</v>
      </c>
      <c r="B2" s="47"/>
      <c r="C2" s="47"/>
      <c r="D2" s="47"/>
      <c r="E2" s="47"/>
      <c r="F2" s="48"/>
    </row>
    <row r="3" spans="1:7" ht="20.25" thickTop="1" thickBot="1" x14ac:dyDescent="0.3">
      <c r="A3" s="6" t="s">
        <v>322</v>
      </c>
      <c r="B3" s="6"/>
      <c r="C3" s="6" t="s">
        <v>191</v>
      </c>
      <c r="D3" s="11">
        <v>6000</v>
      </c>
      <c r="E3" s="14">
        <v>0</v>
      </c>
      <c r="F3" s="12">
        <f t="shared" ref="F3:F19" si="0">ROUNDUP(E3*D3,0)</f>
        <v>0</v>
      </c>
    </row>
    <row r="4" spans="1:7" ht="20.25" thickTop="1" thickBot="1" x14ac:dyDescent="0.3">
      <c r="A4" s="6" t="s">
        <v>322</v>
      </c>
      <c r="B4" s="6"/>
      <c r="C4" s="6" t="s">
        <v>191</v>
      </c>
      <c r="D4" s="11">
        <v>6650</v>
      </c>
      <c r="E4" s="14"/>
      <c r="F4" s="12">
        <f t="shared" si="0"/>
        <v>0</v>
      </c>
    </row>
    <row r="5" spans="1:7" ht="20.25" thickTop="1" thickBot="1" x14ac:dyDescent="0.3">
      <c r="A5" s="6" t="s">
        <v>321</v>
      </c>
      <c r="B5" s="6"/>
      <c r="C5" s="6" t="s">
        <v>191</v>
      </c>
      <c r="D5" s="11">
        <v>8050</v>
      </c>
      <c r="E5" s="14">
        <v>0</v>
      </c>
      <c r="F5" s="12">
        <f t="shared" si="0"/>
        <v>0</v>
      </c>
    </row>
    <row r="6" spans="1:7" ht="20.25" thickTop="1" thickBot="1" x14ac:dyDescent="0.3">
      <c r="A6" s="6" t="s">
        <v>43</v>
      </c>
      <c r="B6" s="6" t="s">
        <v>315</v>
      </c>
      <c r="C6" s="6" t="s">
        <v>189</v>
      </c>
      <c r="D6" s="11">
        <v>5650</v>
      </c>
      <c r="E6" s="14"/>
      <c r="F6" s="12">
        <f t="shared" si="0"/>
        <v>0</v>
      </c>
    </row>
    <row r="7" spans="1:7" ht="20.25" thickTop="1" thickBot="1" x14ac:dyDescent="0.3">
      <c r="A7" s="6" t="s">
        <v>43</v>
      </c>
      <c r="B7" s="6" t="s">
        <v>314</v>
      </c>
      <c r="C7" s="6" t="s">
        <v>189</v>
      </c>
      <c r="D7" s="11">
        <v>6400</v>
      </c>
      <c r="E7" s="14"/>
      <c r="F7" s="12">
        <f t="shared" si="0"/>
        <v>0</v>
      </c>
    </row>
    <row r="8" spans="1:7" ht="20.25" thickTop="1" thickBot="1" x14ac:dyDescent="0.3">
      <c r="A8" s="6" t="s">
        <v>323</v>
      </c>
      <c r="B8" s="6" t="s">
        <v>315</v>
      </c>
      <c r="C8" s="6" t="s">
        <v>190</v>
      </c>
      <c r="D8" s="11">
        <v>5100</v>
      </c>
      <c r="E8" s="14"/>
      <c r="F8" s="12">
        <f t="shared" si="0"/>
        <v>0</v>
      </c>
    </row>
    <row r="9" spans="1:7" ht="20.25" thickTop="1" thickBot="1" x14ac:dyDescent="0.3">
      <c r="A9" s="6" t="s">
        <v>323</v>
      </c>
      <c r="B9" s="6" t="s">
        <v>314</v>
      </c>
      <c r="C9" s="6" t="s">
        <v>190</v>
      </c>
      <c r="D9" s="11">
        <v>5600</v>
      </c>
      <c r="E9" s="14">
        <v>1</v>
      </c>
      <c r="F9" s="12">
        <f t="shared" si="0"/>
        <v>5600</v>
      </c>
    </row>
    <row r="10" spans="1:7" ht="20.25" thickTop="1" thickBot="1" x14ac:dyDescent="0.3">
      <c r="A10" s="6" t="s">
        <v>324</v>
      </c>
      <c r="B10" s="6" t="s">
        <v>382</v>
      </c>
      <c r="C10" s="6" t="s">
        <v>191</v>
      </c>
      <c r="D10" s="11">
        <v>3600</v>
      </c>
      <c r="E10" s="14">
        <v>3</v>
      </c>
      <c r="F10" s="12">
        <f t="shared" si="0"/>
        <v>10800</v>
      </c>
    </row>
    <row r="11" spans="1:7" ht="22.5" thickTop="1" thickBot="1" x14ac:dyDescent="0.3">
      <c r="A11" s="49" t="s">
        <v>127</v>
      </c>
      <c r="B11" s="50"/>
      <c r="C11" s="50"/>
      <c r="D11" s="50"/>
      <c r="E11" s="50"/>
      <c r="F11" s="50"/>
    </row>
    <row r="12" spans="1:7" ht="20.25" thickTop="1" thickBot="1" x14ac:dyDescent="0.3">
      <c r="A12" s="6" t="s">
        <v>141</v>
      </c>
      <c r="B12" s="6"/>
      <c r="C12" s="6" t="s">
        <v>191</v>
      </c>
      <c r="D12" s="11">
        <v>17.5</v>
      </c>
      <c r="E12" s="14"/>
      <c r="F12" s="12">
        <f t="shared" si="0"/>
        <v>0</v>
      </c>
    </row>
    <row r="13" spans="1:7" ht="20.25" thickTop="1" thickBot="1" x14ac:dyDescent="0.3">
      <c r="A13" s="6" t="s">
        <v>128</v>
      </c>
      <c r="B13" s="6"/>
      <c r="C13" s="6" t="s">
        <v>191</v>
      </c>
      <c r="D13" s="11">
        <v>34</v>
      </c>
      <c r="E13" s="14">
        <v>200</v>
      </c>
      <c r="F13" s="12">
        <f t="shared" si="0"/>
        <v>6800</v>
      </c>
    </row>
    <row r="14" spans="1:7" ht="20.25" thickTop="1" thickBot="1" x14ac:dyDescent="0.3">
      <c r="A14" s="6" t="s">
        <v>129</v>
      </c>
      <c r="B14" s="6"/>
      <c r="C14" s="6" t="s">
        <v>191</v>
      </c>
      <c r="D14" s="11">
        <v>60</v>
      </c>
      <c r="E14" s="14"/>
      <c r="F14" s="12">
        <f t="shared" si="0"/>
        <v>0</v>
      </c>
    </row>
    <row r="15" spans="1:7" ht="20.25" thickTop="1" thickBot="1" x14ac:dyDescent="0.3">
      <c r="A15" s="6" t="s">
        <v>130</v>
      </c>
      <c r="B15" s="6"/>
      <c r="C15" s="6" t="s">
        <v>191</v>
      </c>
      <c r="D15" s="11">
        <v>129.5</v>
      </c>
      <c r="E15" s="14"/>
      <c r="F15" s="12">
        <f t="shared" si="0"/>
        <v>0</v>
      </c>
    </row>
    <row r="16" spans="1:7" ht="20.25" thickTop="1" thickBot="1" x14ac:dyDescent="0.3">
      <c r="A16" s="6" t="s">
        <v>180</v>
      </c>
      <c r="B16" s="6"/>
      <c r="C16" s="6" t="s">
        <v>189</v>
      </c>
      <c r="D16" s="11">
        <v>18</v>
      </c>
      <c r="E16" s="14"/>
      <c r="F16" s="12">
        <f t="shared" si="0"/>
        <v>0</v>
      </c>
      <c r="G16" s="27"/>
    </row>
    <row r="17" spans="1:7" ht="20.25" thickTop="1" thickBot="1" x14ac:dyDescent="0.3">
      <c r="A17" s="6" t="s">
        <v>131</v>
      </c>
      <c r="B17" s="6"/>
      <c r="C17" s="6" t="s">
        <v>189</v>
      </c>
      <c r="D17" s="11">
        <v>32</v>
      </c>
      <c r="E17" s="14"/>
      <c r="F17" s="12">
        <f t="shared" si="0"/>
        <v>0</v>
      </c>
      <c r="G17" s="27"/>
    </row>
    <row r="18" spans="1:7" ht="20.25" thickTop="1" thickBot="1" x14ac:dyDescent="0.3">
      <c r="A18" s="6" t="s">
        <v>132</v>
      </c>
      <c r="B18" s="6"/>
      <c r="C18" s="6" t="s">
        <v>189</v>
      </c>
      <c r="D18" s="11">
        <v>56.5</v>
      </c>
      <c r="E18" s="14"/>
      <c r="F18" s="12">
        <f t="shared" si="0"/>
        <v>0</v>
      </c>
      <c r="G18" s="27"/>
    </row>
    <row r="19" spans="1:7" ht="20.25" thickTop="1" thickBot="1" x14ac:dyDescent="0.3">
      <c r="A19" s="6" t="s">
        <v>319</v>
      </c>
      <c r="B19" s="6"/>
      <c r="C19" s="6" t="s">
        <v>189</v>
      </c>
      <c r="D19" s="11">
        <v>80</v>
      </c>
      <c r="E19" s="14"/>
      <c r="F19" s="12">
        <f t="shared" si="0"/>
        <v>0</v>
      </c>
      <c r="G19" s="27"/>
    </row>
    <row r="20" spans="1:7" ht="20.25" thickTop="1" thickBot="1" x14ac:dyDescent="0.3">
      <c r="A20" s="6" t="s">
        <v>184</v>
      </c>
      <c r="B20" s="6"/>
      <c r="C20" s="6" t="s">
        <v>190</v>
      </c>
      <c r="D20" s="11"/>
      <c r="E20" s="14"/>
      <c r="F20" s="13"/>
      <c r="G20" s="27"/>
    </row>
    <row r="21" spans="1:7" ht="20.25" thickTop="1" thickBot="1" x14ac:dyDescent="0.3">
      <c r="A21" s="6" t="s">
        <v>185</v>
      </c>
      <c r="B21" s="6"/>
      <c r="C21" s="6" t="s">
        <v>190</v>
      </c>
      <c r="D21" s="11"/>
      <c r="E21" s="14"/>
      <c r="F21" s="13"/>
      <c r="G21" s="27"/>
    </row>
    <row r="22" spans="1:7" ht="20.25" thickTop="1" thickBot="1" x14ac:dyDescent="0.3">
      <c r="A22" s="6" t="s">
        <v>186</v>
      </c>
      <c r="B22" s="6"/>
      <c r="C22" s="6" t="s">
        <v>190</v>
      </c>
      <c r="D22" s="11"/>
      <c r="E22" s="14"/>
      <c r="F22" s="13"/>
      <c r="G22" s="27"/>
    </row>
    <row r="23" spans="1:7" ht="20.25" thickTop="1" thickBot="1" x14ac:dyDescent="0.3">
      <c r="A23" s="6" t="s">
        <v>187</v>
      </c>
      <c r="B23" s="6"/>
      <c r="C23" s="6" t="s">
        <v>190</v>
      </c>
      <c r="D23" s="11"/>
      <c r="E23" s="14"/>
      <c r="F23" s="13"/>
      <c r="G23" s="27"/>
    </row>
    <row r="24" spans="1:7" ht="24.75" thickTop="1" thickBot="1" x14ac:dyDescent="0.3">
      <c r="A24" s="46" t="s">
        <v>181</v>
      </c>
      <c r="B24" s="47"/>
      <c r="C24" s="47"/>
      <c r="D24" s="47"/>
      <c r="E24" s="47"/>
      <c r="F24" s="48"/>
    </row>
    <row r="25" spans="1:7" ht="20.25" thickTop="1" thickBot="1" x14ac:dyDescent="0.3">
      <c r="A25" s="6" t="s">
        <v>182</v>
      </c>
      <c r="B25" s="6"/>
      <c r="C25" s="6"/>
      <c r="D25" s="11">
        <v>1380</v>
      </c>
      <c r="E25" s="28">
        <v>0</v>
      </c>
      <c r="F25" s="12">
        <f>D25*E25</f>
        <v>0</v>
      </c>
    </row>
    <row r="26" spans="1:7" ht="24.75" thickTop="1" thickBot="1" x14ac:dyDescent="0.3">
      <c r="A26" s="46" t="s">
        <v>44</v>
      </c>
      <c r="B26" s="47"/>
      <c r="C26" s="47"/>
      <c r="D26" s="47"/>
      <c r="E26" s="47"/>
      <c r="F26" s="48"/>
    </row>
    <row r="27" spans="1:7" ht="22.5" thickTop="1" thickBot="1" x14ac:dyDescent="0.3">
      <c r="A27" s="49" t="s">
        <v>227</v>
      </c>
      <c r="B27" s="50"/>
      <c r="C27" s="50"/>
      <c r="D27" s="50"/>
      <c r="E27" s="50"/>
      <c r="F27" s="50"/>
    </row>
    <row r="28" spans="1:7" ht="20.25" thickTop="1" thickBot="1" x14ac:dyDescent="0.3">
      <c r="A28" s="6" t="s">
        <v>77</v>
      </c>
      <c r="B28" s="6"/>
      <c r="C28" s="6" t="s">
        <v>189</v>
      </c>
      <c r="D28" s="11">
        <v>6800</v>
      </c>
      <c r="E28" s="14">
        <v>0</v>
      </c>
      <c r="F28" s="12">
        <f>ROUNDUP(E28*D28,0)</f>
        <v>0</v>
      </c>
    </row>
    <row r="29" spans="1:7" ht="20.25" thickTop="1" thickBot="1" x14ac:dyDescent="0.3">
      <c r="A29" s="6" t="s">
        <v>228</v>
      </c>
      <c r="B29" s="6"/>
      <c r="C29" s="6" t="s">
        <v>189</v>
      </c>
      <c r="D29" s="11">
        <v>6000</v>
      </c>
      <c r="E29" s="14">
        <v>0</v>
      </c>
      <c r="F29" s="12">
        <f t="shared" ref="F29:F131" si="1">ROUNDUP(E29*D29,0)</f>
        <v>0</v>
      </c>
    </row>
    <row r="30" spans="1:7" ht="20.25" thickTop="1" thickBot="1" x14ac:dyDescent="0.3">
      <c r="A30" s="6" t="s">
        <v>108</v>
      </c>
      <c r="B30" s="6"/>
      <c r="C30" s="6" t="s">
        <v>189</v>
      </c>
      <c r="D30" s="11">
        <v>9700</v>
      </c>
      <c r="E30" s="14">
        <v>0</v>
      </c>
      <c r="F30" s="12">
        <f t="shared" si="1"/>
        <v>0</v>
      </c>
    </row>
    <row r="31" spans="1:7" ht="20.25" thickTop="1" thickBot="1" x14ac:dyDescent="0.3">
      <c r="A31" s="6" t="s">
        <v>229</v>
      </c>
      <c r="B31" s="6"/>
      <c r="C31" s="6" t="s">
        <v>191</v>
      </c>
      <c r="D31" s="11">
        <v>13901</v>
      </c>
      <c r="E31" s="14"/>
      <c r="F31" s="12">
        <f t="shared" si="1"/>
        <v>0</v>
      </c>
    </row>
    <row r="32" spans="1:7" ht="20.25" thickTop="1" thickBot="1" x14ac:dyDescent="0.3">
      <c r="A32" s="6" t="s">
        <v>230</v>
      </c>
      <c r="B32" s="6"/>
      <c r="C32" s="6" t="s">
        <v>191</v>
      </c>
      <c r="D32" s="11">
        <v>9800</v>
      </c>
      <c r="E32" s="14"/>
      <c r="F32" s="12">
        <f t="shared" si="1"/>
        <v>0</v>
      </c>
    </row>
    <row r="33" spans="1:6" ht="20.25" thickTop="1" thickBot="1" x14ac:dyDescent="0.3">
      <c r="A33" s="6" t="s">
        <v>54</v>
      </c>
      <c r="B33" s="6"/>
      <c r="C33" s="6" t="s">
        <v>192</v>
      </c>
      <c r="D33" s="11">
        <v>10645</v>
      </c>
      <c r="E33" s="14"/>
      <c r="F33" s="12">
        <f t="shared" si="1"/>
        <v>0</v>
      </c>
    </row>
    <row r="34" spans="1:6" ht="20.25" thickTop="1" thickBot="1" x14ac:dyDescent="0.3">
      <c r="A34" s="6" t="s">
        <v>55</v>
      </c>
      <c r="B34" s="6"/>
      <c r="C34" s="6" t="s">
        <v>192</v>
      </c>
      <c r="D34" s="11">
        <v>13810</v>
      </c>
      <c r="E34" s="14"/>
      <c r="F34" s="12">
        <f t="shared" si="1"/>
        <v>0</v>
      </c>
    </row>
    <row r="35" spans="1:6" ht="20.25" thickTop="1" thickBot="1" x14ac:dyDescent="0.3">
      <c r="A35" s="6" t="s">
        <v>56</v>
      </c>
      <c r="B35" s="6"/>
      <c r="C35" s="6" t="s">
        <v>191</v>
      </c>
      <c r="D35" s="11">
        <v>24816</v>
      </c>
      <c r="E35" s="14"/>
      <c r="F35" s="12">
        <f t="shared" si="1"/>
        <v>0</v>
      </c>
    </row>
    <row r="36" spans="1:6" ht="20.25" thickTop="1" thickBot="1" x14ac:dyDescent="0.3">
      <c r="A36" s="6" t="s">
        <v>57</v>
      </c>
      <c r="B36" s="6"/>
      <c r="C36" s="6" t="s">
        <v>191</v>
      </c>
      <c r="D36" s="11">
        <v>11999</v>
      </c>
      <c r="E36" s="14"/>
      <c r="F36" s="12">
        <f t="shared" si="1"/>
        <v>0</v>
      </c>
    </row>
    <row r="37" spans="1:6" ht="20.25" thickTop="1" thickBot="1" x14ac:dyDescent="0.3">
      <c r="A37" s="6" t="s">
        <v>59</v>
      </c>
      <c r="B37" s="6"/>
      <c r="C37" s="6" t="s">
        <v>189</v>
      </c>
      <c r="D37" s="11">
        <v>12450</v>
      </c>
      <c r="E37" s="14">
        <v>0</v>
      </c>
      <c r="F37" s="12">
        <f t="shared" si="1"/>
        <v>0</v>
      </c>
    </row>
    <row r="38" spans="1:6" ht="20.25" thickTop="1" thickBot="1" x14ac:dyDescent="0.3">
      <c r="A38" s="6" t="s">
        <v>58</v>
      </c>
      <c r="B38" s="6"/>
      <c r="C38" s="6" t="s">
        <v>189</v>
      </c>
      <c r="D38" s="11">
        <v>17160</v>
      </c>
      <c r="E38" s="14"/>
      <c r="F38" s="12">
        <f t="shared" si="1"/>
        <v>0</v>
      </c>
    </row>
    <row r="39" spans="1:6" ht="20.25" thickTop="1" thickBot="1" x14ac:dyDescent="0.3">
      <c r="A39" s="6" t="s">
        <v>60</v>
      </c>
      <c r="B39" s="6"/>
      <c r="C39" s="6" t="s">
        <v>189</v>
      </c>
      <c r="D39" s="11">
        <v>10560</v>
      </c>
      <c r="E39" s="14"/>
      <c r="F39" s="12">
        <f t="shared" si="1"/>
        <v>0</v>
      </c>
    </row>
    <row r="40" spans="1:6" ht="20.25" thickTop="1" thickBot="1" x14ac:dyDescent="0.3">
      <c r="A40" s="6" t="s">
        <v>61</v>
      </c>
      <c r="B40" s="6"/>
      <c r="C40" s="6" t="s">
        <v>191</v>
      </c>
      <c r="D40" s="11">
        <v>26406</v>
      </c>
      <c r="E40" s="14"/>
      <c r="F40" s="12">
        <f t="shared" si="1"/>
        <v>0</v>
      </c>
    </row>
    <row r="41" spans="1:6" ht="22.5" thickTop="1" thickBot="1" x14ac:dyDescent="0.3">
      <c r="A41" s="49" t="s">
        <v>133</v>
      </c>
      <c r="B41" s="50"/>
      <c r="C41" s="50"/>
      <c r="D41" s="50"/>
      <c r="E41" s="50"/>
      <c r="F41" s="50"/>
    </row>
    <row r="42" spans="1:6" ht="20.25" thickTop="1" thickBot="1" x14ac:dyDescent="0.3">
      <c r="A42" s="6" t="s">
        <v>134</v>
      </c>
      <c r="B42" s="6"/>
      <c r="C42" s="6" t="s">
        <v>189</v>
      </c>
      <c r="D42" s="11">
        <v>45</v>
      </c>
      <c r="E42" s="14">
        <v>0</v>
      </c>
      <c r="F42" s="12">
        <f t="shared" ref="F42:F50" si="2">ROUNDUP(E42*D42,0)</f>
        <v>0</v>
      </c>
    </row>
    <row r="43" spans="1:6" ht="20.25" thickTop="1" thickBot="1" x14ac:dyDescent="0.3">
      <c r="A43" s="6" t="s">
        <v>135</v>
      </c>
      <c r="B43" s="6"/>
      <c r="C43" s="6" t="s">
        <v>192</v>
      </c>
      <c r="D43" s="11">
        <v>113</v>
      </c>
      <c r="E43" s="14">
        <v>0</v>
      </c>
      <c r="F43" s="12">
        <f t="shared" si="2"/>
        <v>0</v>
      </c>
    </row>
    <row r="44" spans="1:6" ht="20.25" thickTop="1" thickBot="1" x14ac:dyDescent="0.3">
      <c r="A44" s="6" t="s">
        <v>136</v>
      </c>
      <c r="B44" s="6"/>
      <c r="C44" s="6" t="s">
        <v>192</v>
      </c>
      <c r="D44" s="11">
        <v>113</v>
      </c>
      <c r="E44" s="14"/>
      <c r="F44" s="12">
        <f t="shared" si="2"/>
        <v>0</v>
      </c>
    </row>
    <row r="45" spans="1:6" ht="20.25" thickTop="1" thickBot="1" x14ac:dyDescent="0.3">
      <c r="A45" s="6" t="s">
        <v>164</v>
      </c>
      <c r="B45" s="6"/>
      <c r="C45" s="6" t="s">
        <v>191</v>
      </c>
      <c r="D45" s="11">
        <v>74.400000000000006</v>
      </c>
      <c r="E45" s="14">
        <v>0</v>
      </c>
      <c r="F45" s="12">
        <f t="shared" si="2"/>
        <v>0</v>
      </c>
    </row>
    <row r="46" spans="1:6" ht="20.25" thickTop="1" thickBot="1" x14ac:dyDescent="0.3">
      <c r="A46" s="6" t="s">
        <v>165</v>
      </c>
      <c r="B46" s="6"/>
      <c r="C46" s="6" t="s">
        <v>189</v>
      </c>
      <c r="D46" s="11">
        <v>85</v>
      </c>
      <c r="E46" s="14">
        <v>0</v>
      </c>
      <c r="F46" s="12">
        <f t="shared" si="2"/>
        <v>0</v>
      </c>
    </row>
    <row r="47" spans="1:6" ht="20.25" thickTop="1" thickBot="1" x14ac:dyDescent="0.3">
      <c r="A47" s="6" t="s">
        <v>166</v>
      </c>
      <c r="B47" s="6"/>
      <c r="C47" s="6" t="s">
        <v>189</v>
      </c>
      <c r="D47" s="11">
        <v>95.04</v>
      </c>
      <c r="E47" s="14"/>
      <c r="F47" s="12">
        <f t="shared" si="2"/>
        <v>0</v>
      </c>
    </row>
    <row r="48" spans="1:6" ht="20.25" thickTop="1" thickBot="1" x14ac:dyDescent="0.3">
      <c r="A48" s="6" t="s">
        <v>167</v>
      </c>
      <c r="B48" s="6"/>
      <c r="C48" s="6" t="s">
        <v>189</v>
      </c>
      <c r="D48" s="11">
        <v>87.62</v>
      </c>
      <c r="E48" s="14"/>
      <c r="F48" s="12">
        <f t="shared" si="2"/>
        <v>0</v>
      </c>
    </row>
    <row r="49" spans="1:8" ht="20.25" thickTop="1" thickBot="1" x14ac:dyDescent="0.3">
      <c r="A49" s="6" t="s">
        <v>168</v>
      </c>
      <c r="B49" s="6"/>
      <c r="C49" s="6" t="s">
        <v>191</v>
      </c>
      <c r="D49" s="11">
        <v>112.36</v>
      </c>
      <c r="E49" s="14"/>
      <c r="F49" s="12">
        <f t="shared" si="2"/>
        <v>0</v>
      </c>
    </row>
    <row r="50" spans="1:8" ht="20.25" thickTop="1" thickBot="1" x14ac:dyDescent="0.3">
      <c r="A50" s="6" t="s">
        <v>169</v>
      </c>
      <c r="B50" s="6"/>
      <c r="C50" s="6" t="s">
        <v>191</v>
      </c>
      <c r="D50" s="11">
        <v>144.76</v>
      </c>
      <c r="E50" s="14"/>
      <c r="F50" s="12">
        <f t="shared" si="2"/>
        <v>0</v>
      </c>
    </row>
    <row r="51" spans="1:8" s="31" customFormat="1" ht="22.5" thickTop="1" thickBot="1" x14ac:dyDescent="0.4">
      <c r="A51" s="51" t="s">
        <v>231</v>
      </c>
      <c r="B51" s="52"/>
      <c r="C51" s="52"/>
      <c r="D51" s="52"/>
      <c r="E51" s="52"/>
      <c r="F51" s="52"/>
    </row>
    <row r="52" spans="1:8" ht="20.25" thickTop="1" thickBot="1" x14ac:dyDescent="0.3">
      <c r="A52" s="6" t="s">
        <v>193</v>
      </c>
      <c r="B52" s="6"/>
      <c r="C52" s="6" t="s">
        <v>197</v>
      </c>
      <c r="D52" s="11">
        <v>5600</v>
      </c>
      <c r="E52" s="14"/>
      <c r="F52" s="12">
        <f t="shared" si="1"/>
        <v>0</v>
      </c>
    </row>
    <row r="53" spans="1:8" ht="20.25" thickTop="1" thickBot="1" x14ac:dyDescent="0.3">
      <c r="A53" s="6" t="s">
        <v>194</v>
      </c>
      <c r="B53" s="6"/>
      <c r="C53" s="6" t="s">
        <v>197</v>
      </c>
      <c r="D53" s="11">
        <v>6800</v>
      </c>
      <c r="E53" s="14"/>
      <c r="F53" s="12">
        <f t="shared" si="1"/>
        <v>0</v>
      </c>
    </row>
    <row r="54" spans="1:8" ht="20.25" thickTop="1" thickBot="1" x14ac:dyDescent="0.3">
      <c r="A54" s="6" t="s">
        <v>195</v>
      </c>
      <c r="B54" s="6"/>
      <c r="C54" s="6" t="s">
        <v>197</v>
      </c>
      <c r="D54" s="11">
        <v>8030</v>
      </c>
      <c r="E54" s="14"/>
      <c r="F54" s="12">
        <f t="shared" si="1"/>
        <v>0</v>
      </c>
    </row>
    <row r="55" spans="1:8" ht="20.25" thickTop="1" thickBot="1" x14ac:dyDescent="0.3">
      <c r="A55" s="6" t="s">
        <v>196</v>
      </c>
      <c r="B55" s="6"/>
      <c r="C55" s="6" t="s">
        <v>197</v>
      </c>
      <c r="D55" s="11">
        <v>11330</v>
      </c>
      <c r="E55" s="14"/>
      <c r="F55" s="12">
        <f t="shared" si="1"/>
        <v>0</v>
      </c>
      <c r="H55" t="s">
        <v>4</v>
      </c>
    </row>
    <row r="56" spans="1:8" ht="20.25" thickTop="1" thickBot="1" x14ac:dyDescent="0.3">
      <c r="A56" s="53"/>
      <c r="B56" s="54"/>
      <c r="C56" s="54"/>
      <c r="D56" s="54"/>
      <c r="E56" s="54"/>
      <c r="F56" s="54"/>
    </row>
    <row r="57" spans="1:8" ht="20.25" thickTop="1" thickBot="1" x14ac:dyDescent="0.3">
      <c r="A57" s="6" t="s">
        <v>203</v>
      </c>
      <c r="B57" s="6"/>
      <c r="C57" s="6" t="s">
        <v>197</v>
      </c>
      <c r="D57" s="11">
        <v>3900</v>
      </c>
      <c r="E57" s="14"/>
      <c r="F57" s="12">
        <f t="shared" si="1"/>
        <v>0</v>
      </c>
    </row>
    <row r="58" spans="1:8" ht="20.25" thickTop="1" thickBot="1" x14ac:dyDescent="0.3">
      <c r="A58" s="6" t="s">
        <v>204</v>
      </c>
      <c r="B58" s="6"/>
      <c r="C58" s="6" t="s">
        <v>197</v>
      </c>
      <c r="D58" s="11">
        <v>4500</v>
      </c>
      <c r="E58" s="14"/>
      <c r="F58" s="12">
        <f t="shared" si="1"/>
        <v>0</v>
      </c>
    </row>
    <row r="59" spans="1:8" ht="20.25" thickTop="1" thickBot="1" x14ac:dyDescent="0.3">
      <c r="A59" s="6" t="s">
        <v>205</v>
      </c>
      <c r="B59" s="6"/>
      <c r="C59" s="6" t="s">
        <v>197</v>
      </c>
      <c r="D59" s="11">
        <v>5400</v>
      </c>
      <c r="E59" s="14"/>
      <c r="F59" s="12">
        <f t="shared" si="1"/>
        <v>0</v>
      </c>
    </row>
    <row r="60" spans="1:8" ht="20.25" thickTop="1" thickBot="1" x14ac:dyDescent="0.3">
      <c r="A60" s="6" t="s">
        <v>206</v>
      </c>
      <c r="B60" s="6"/>
      <c r="C60" s="6" t="s">
        <v>197</v>
      </c>
      <c r="D60" s="11">
        <v>6200</v>
      </c>
      <c r="E60" s="14"/>
      <c r="F60" s="12">
        <f t="shared" si="1"/>
        <v>0</v>
      </c>
    </row>
    <row r="61" spans="1:8" ht="20.25" thickTop="1" thickBot="1" x14ac:dyDescent="0.3">
      <c r="A61" s="6" t="s">
        <v>207</v>
      </c>
      <c r="B61" s="6"/>
      <c r="C61" s="6" t="s">
        <v>197</v>
      </c>
      <c r="D61" s="11">
        <v>6650</v>
      </c>
      <c r="E61" s="14"/>
      <c r="F61" s="12">
        <f t="shared" si="1"/>
        <v>0</v>
      </c>
    </row>
    <row r="62" spans="1:8" ht="20.25" thickTop="1" thickBot="1" x14ac:dyDescent="0.3">
      <c r="A62" s="53"/>
      <c r="B62" s="54"/>
      <c r="C62" s="54"/>
      <c r="D62" s="54"/>
      <c r="E62" s="54"/>
      <c r="F62" s="54"/>
    </row>
    <row r="63" spans="1:8" ht="20.25" thickTop="1" thickBot="1" x14ac:dyDescent="0.3">
      <c r="A63" s="6" t="s">
        <v>198</v>
      </c>
      <c r="B63" s="6"/>
      <c r="C63" s="6" t="s">
        <v>197</v>
      </c>
      <c r="D63" s="11">
        <v>4650</v>
      </c>
      <c r="E63" s="14"/>
      <c r="F63" s="12">
        <f t="shared" si="1"/>
        <v>0</v>
      </c>
    </row>
    <row r="64" spans="1:8" ht="20.25" thickTop="1" thickBot="1" x14ac:dyDescent="0.3">
      <c r="A64" s="6" t="s">
        <v>199</v>
      </c>
      <c r="B64" s="6"/>
      <c r="C64" s="6" t="s">
        <v>197</v>
      </c>
      <c r="D64" s="11">
        <v>5250</v>
      </c>
      <c r="E64" s="14"/>
      <c r="F64" s="12">
        <f t="shared" si="1"/>
        <v>0</v>
      </c>
    </row>
    <row r="65" spans="1:6" ht="20.25" thickTop="1" thickBot="1" x14ac:dyDescent="0.3">
      <c r="A65" s="6" t="s">
        <v>200</v>
      </c>
      <c r="B65" s="6"/>
      <c r="C65" s="6" t="s">
        <v>197</v>
      </c>
      <c r="D65" s="11">
        <v>5900</v>
      </c>
      <c r="E65" s="14"/>
      <c r="F65" s="12">
        <f t="shared" si="1"/>
        <v>0</v>
      </c>
    </row>
    <row r="66" spans="1:6" ht="20.25" thickTop="1" thickBot="1" x14ac:dyDescent="0.3">
      <c r="A66" s="6" t="s">
        <v>201</v>
      </c>
      <c r="B66" s="6"/>
      <c r="C66" s="6" t="s">
        <v>197</v>
      </c>
      <c r="D66" s="11">
        <v>6750</v>
      </c>
      <c r="E66" s="14"/>
      <c r="F66" s="12">
        <f t="shared" si="1"/>
        <v>0</v>
      </c>
    </row>
    <row r="67" spans="1:6" ht="20.25" thickTop="1" thickBot="1" x14ac:dyDescent="0.3">
      <c r="A67" s="6" t="s">
        <v>202</v>
      </c>
      <c r="B67" s="6"/>
      <c r="C67" s="6" t="s">
        <v>197</v>
      </c>
      <c r="D67" s="11">
        <v>7200</v>
      </c>
      <c r="E67" s="14"/>
      <c r="F67" s="12">
        <f t="shared" si="1"/>
        <v>0</v>
      </c>
    </row>
    <row r="68" spans="1:6" ht="20.25" thickTop="1" thickBot="1" x14ac:dyDescent="0.3">
      <c r="A68" s="53"/>
      <c r="B68" s="54"/>
      <c r="C68" s="54"/>
      <c r="D68" s="54"/>
      <c r="E68" s="54"/>
      <c r="F68" s="54"/>
    </row>
    <row r="69" spans="1:6" ht="20.25" thickTop="1" thickBot="1" x14ac:dyDescent="0.3">
      <c r="A69" s="6" t="s">
        <v>208</v>
      </c>
      <c r="B69" s="6"/>
      <c r="C69" s="6" t="s">
        <v>197</v>
      </c>
      <c r="D69" s="11">
        <v>6200</v>
      </c>
      <c r="E69" s="14"/>
      <c r="F69" s="12">
        <f t="shared" si="1"/>
        <v>0</v>
      </c>
    </row>
    <row r="70" spans="1:6" ht="20.25" thickTop="1" thickBot="1" x14ac:dyDescent="0.3">
      <c r="A70" s="6" t="s">
        <v>209</v>
      </c>
      <c r="B70" s="6"/>
      <c r="C70" s="6" t="s">
        <v>197</v>
      </c>
      <c r="D70" s="11">
        <v>6850</v>
      </c>
      <c r="E70" s="14"/>
      <c r="F70" s="12">
        <f t="shared" si="1"/>
        <v>0</v>
      </c>
    </row>
    <row r="71" spans="1:6" ht="20.25" thickTop="1" thickBot="1" x14ac:dyDescent="0.3">
      <c r="A71" s="6" t="s">
        <v>210</v>
      </c>
      <c r="B71" s="6"/>
      <c r="C71" s="6" t="s">
        <v>197</v>
      </c>
      <c r="D71" s="11">
        <v>7500</v>
      </c>
      <c r="E71" s="14"/>
      <c r="F71" s="12">
        <f t="shared" si="1"/>
        <v>0</v>
      </c>
    </row>
    <row r="72" spans="1:6" ht="20.25" thickTop="1" thickBot="1" x14ac:dyDescent="0.3">
      <c r="A72" s="6" t="s">
        <v>211</v>
      </c>
      <c r="B72" s="6"/>
      <c r="C72" s="6" t="s">
        <v>197</v>
      </c>
      <c r="D72" s="11">
        <v>8300</v>
      </c>
      <c r="E72" s="14"/>
      <c r="F72" s="12">
        <f t="shared" si="1"/>
        <v>0</v>
      </c>
    </row>
    <row r="73" spans="1:6" ht="20.25" thickTop="1" thickBot="1" x14ac:dyDescent="0.3">
      <c r="A73" s="6" t="s">
        <v>212</v>
      </c>
      <c r="B73" s="6"/>
      <c r="C73" s="6" t="s">
        <v>197</v>
      </c>
      <c r="D73" s="11">
        <v>8750</v>
      </c>
      <c r="E73" s="14"/>
      <c r="F73" s="12">
        <f t="shared" si="1"/>
        <v>0</v>
      </c>
    </row>
    <row r="74" spans="1:6" ht="20.25" thickTop="1" thickBot="1" x14ac:dyDescent="0.3">
      <c r="A74" s="53"/>
      <c r="B74" s="54"/>
      <c r="C74" s="54"/>
      <c r="D74" s="54"/>
      <c r="E74" s="54"/>
      <c r="F74" s="54"/>
    </row>
    <row r="75" spans="1:6" ht="20.25" thickTop="1" thickBot="1" x14ac:dyDescent="0.3">
      <c r="A75" s="6" t="s">
        <v>213</v>
      </c>
      <c r="B75" s="6"/>
      <c r="C75" s="6" t="s">
        <v>197</v>
      </c>
      <c r="D75" s="11">
        <v>7250</v>
      </c>
      <c r="E75" s="14"/>
      <c r="F75" s="12">
        <f t="shared" si="1"/>
        <v>0</v>
      </c>
    </row>
    <row r="76" spans="1:6" ht="20.25" thickTop="1" thickBot="1" x14ac:dyDescent="0.3">
      <c r="A76" s="6" t="s">
        <v>214</v>
      </c>
      <c r="B76" s="6"/>
      <c r="C76" s="6" t="s">
        <v>197</v>
      </c>
      <c r="D76" s="11">
        <v>7900</v>
      </c>
      <c r="E76" s="14"/>
      <c r="F76" s="12">
        <f t="shared" si="1"/>
        <v>0</v>
      </c>
    </row>
    <row r="77" spans="1:6" ht="20.25" thickTop="1" thickBot="1" x14ac:dyDescent="0.3">
      <c r="A77" s="6" t="s">
        <v>215</v>
      </c>
      <c r="B77" s="6"/>
      <c r="C77" s="6" t="s">
        <v>197</v>
      </c>
      <c r="D77" s="11">
        <v>8550</v>
      </c>
      <c r="E77" s="14"/>
      <c r="F77" s="12">
        <f t="shared" si="1"/>
        <v>0</v>
      </c>
    </row>
    <row r="78" spans="1:6" ht="20.25" thickTop="1" thickBot="1" x14ac:dyDescent="0.3">
      <c r="A78" s="6" t="s">
        <v>216</v>
      </c>
      <c r="B78" s="6"/>
      <c r="C78" s="6" t="s">
        <v>197</v>
      </c>
      <c r="D78" s="11">
        <v>9350</v>
      </c>
      <c r="E78" s="14"/>
      <c r="F78" s="12">
        <f t="shared" si="1"/>
        <v>0</v>
      </c>
    </row>
    <row r="79" spans="1:6" ht="20.25" thickTop="1" thickBot="1" x14ac:dyDescent="0.3">
      <c r="A79" s="6" t="s">
        <v>217</v>
      </c>
      <c r="B79" s="6"/>
      <c r="C79" s="6" t="s">
        <v>197</v>
      </c>
      <c r="D79" s="11">
        <v>9800</v>
      </c>
      <c r="E79" s="14"/>
      <c r="F79" s="12">
        <f t="shared" si="1"/>
        <v>0</v>
      </c>
    </row>
    <row r="80" spans="1:6" ht="20.25" thickTop="1" thickBot="1" x14ac:dyDescent="0.3">
      <c r="A80" s="6"/>
      <c r="B80" s="6"/>
      <c r="C80" s="6"/>
      <c r="D80" s="11"/>
      <c r="E80" s="14"/>
      <c r="F80" s="12"/>
    </row>
    <row r="81" spans="1:6" ht="20.25" thickTop="1" thickBot="1" x14ac:dyDescent="0.3">
      <c r="A81" s="44" t="s">
        <v>270</v>
      </c>
      <c r="B81" s="45"/>
      <c r="C81" s="45"/>
      <c r="D81" s="45"/>
      <c r="E81" s="45"/>
      <c r="F81" s="45"/>
    </row>
    <row r="82" spans="1:6" ht="20.25" customHeight="1" thickTop="1" thickBot="1" x14ac:dyDescent="0.3">
      <c r="A82" s="56" t="s">
        <v>293</v>
      </c>
      <c r="B82" s="57"/>
      <c r="C82" s="57"/>
      <c r="D82" s="57"/>
      <c r="E82" s="57"/>
      <c r="F82" s="57"/>
    </row>
    <row r="83" spans="1:6" ht="27.75" customHeight="1" thickTop="1" thickBot="1" x14ac:dyDescent="0.3">
      <c r="A83" s="6" t="s">
        <v>271</v>
      </c>
      <c r="B83" s="6"/>
      <c r="C83" s="6" t="s">
        <v>270</v>
      </c>
      <c r="D83" s="11">
        <v>4751</v>
      </c>
      <c r="E83" s="14"/>
      <c r="F83" s="12">
        <f t="shared" si="1"/>
        <v>0</v>
      </c>
    </row>
    <row r="84" spans="1:6" ht="41.25" customHeight="1" thickTop="1" thickBot="1" x14ac:dyDescent="0.3">
      <c r="A84" s="6" t="s">
        <v>272</v>
      </c>
      <c r="B84" s="6"/>
      <c r="C84" s="6" t="s">
        <v>270</v>
      </c>
      <c r="D84" s="11">
        <v>5250</v>
      </c>
      <c r="E84" s="14"/>
      <c r="F84" s="12">
        <f t="shared" si="1"/>
        <v>0</v>
      </c>
    </row>
    <row r="85" spans="1:6" ht="20.25" customHeight="1" thickTop="1" thickBot="1" x14ac:dyDescent="0.3">
      <c r="A85" s="6"/>
      <c r="B85" s="6"/>
      <c r="C85" s="6" t="s">
        <v>270</v>
      </c>
      <c r="D85" s="11"/>
      <c r="E85" s="14"/>
      <c r="F85" s="12">
        <f t="shared" si="1"/>
        <v>0</v>
      </c>
    </row>
    <row r="86" spans="1:6" ht="20.25" customHeight="1" thickTop="1" thickBot="1" x14ac:dyDescent="0.3">
      <c r="A86" s="6" t="s">
        <v>274</v>
      </c>
      <c r="B86" s="6"/>
      <c r="C86" s="6" t="s">
        <v>270</v>
      </c>
      <c r="D86" s="11">
        <v>5750</v>
      </c>
      <c r="E86" s="14">
        <v>0</v>
      </c>
      <c r="F86" s="12">
        <f t="shared" si="1"/>
        <v>0</v>
      </c>
    </row>
    <row r="87" spans="1:6" ht="20.25" customHeight="1" thickTop="1" thickBot="1" x14ac:dyDescent="0.3">
      <c r="A87" s="6" t="s">
        <v>273</v>
      </c>
      <c r="B87" s="6"/>
      <c r="C87" s="6" t="s">
        <v>270</v>
      </c>
      <c r="D87" s="11">
        <v>6250</v>
      </c>
      <c r="E87" s="14"/>
      <c r="F87" s="12">
        <f t="shared" si="1"/>
        <v>0</v>
      </c>
    </row>
    <row r="88" spans="1:6" ht="20.25" customHeight="1" thickTop="1" thickBot="1" x14ac:dyDescent="0.3">
      <c r="A88" s="6"/>
      <c r="B88" s="6"/>
      <c r="C88" s="6" t="s">
        <v>270</v>
      </c>
      <c r="D88" s="11"/>
      <c r="E88" s="14"/>
      <c r="F88" s="12">
        <f t="shared" si="1"/>
        <v>0</v>
      </c>
    </row>
    <row r="89" spans="1:6" ht="20.25" customHeight="1" thickTop="1" thickBot="1" x14ac:dyDescent="0.3">
      <c r="A89" s="6" t="s">
        <v>275</v>
      </c>
      <c r="B89" s="6"/>
      <c r="C89" s="6" t="s">
        <v>270</v>
      </c>
      <c r="D89" s="11">
        <v>6250</v>
      </c>
      <c r="E89" s="14"/>
      <c r="F89" s="12">
        <f t="shared" si="1"/>
        <v>0</v>
      </c>
    </row>
    <row r="90" spans="1:6" ht="20.25" customHeight="1" thickTop="1" thickBot="1" x14ac:dyDescent="0.3">
      <c r="A90" s="6" t="s">
        <v>276</v>
      </c>
      <c r="B90" s="6"/>
      <c r="C90" s="6" t="s">
        <v>270</v>
      </c>
      <c r="D90" s="11">
        <v>6750</v>
      </c>
      <c r="E90" s="14"/>
      <c r="F90" s="12">
        <f t="shared" si="1"/>
        <v>0</v>
      </c>
    </row>
    <row r="91" spans="1:6" ht="20.25" customHeight="1" thickTop="1" thickBot="1" x14ac:dyDescent="0.3">
      <c r="A91" s="6"/>
      <c r="B91" s="6"/>
      <c r="C91" s="6" t="s">
        <v>270</v>
      </c>
      <c r="D91" s="11"/>
      <c r="E91" s="14"/>
      <c r="F91" s="12">
        <f t="shared" si="1"/>
        <v>0</v>
      </c>
    </row>
    <row r="92" spans="1:6" ht="20.25" customHeight="1" thickTop="1" thickBot="1" x14ac:dyDescent="0.3">
      <c r="A92" s="6" t="s">
        <v>277</v>
      </c>
      <c r="B92" s="6"/>
      <c r="C92" s="6" t="s">
        <v>270</v>
      </c>
      <c r="D92" s="11">
        <v>5050</v>
      </c>
      <c r="E92" s="14"/>
      <c r="F92" s="12">
        <f t="shared" si="1"/>
        <v>0</v>
      </c>
    </row>
    <row r="93" spans="1:6" ht="20.25" customHeight="1" thickTop="1" thickBot="1" x14ac:dyDescent="0.3">
      <c r="A93" s="6" t="s">
        <v>278</v>
      </c>
      <c r="B93" s="6"/>
      <c r="C93" s="6" t="s">
        <v>270</v>
      </c>
      <c r="D93" s="11">
        <v>5550</v>
      </c>
      <c r="E93" s="14"/>
      <c r="F93" s="12">
        <f t="shared" si="1"/>
        <v>0</v>
      </c>
    </row>
    <row r="94" spans="1:6" ht="20.25" customHeight="1" thickTop="1" thickBot="1" x14ac:dyDescent="0.3">
      <c r="A94" s="6"/>
      <c r="B94" s="6"/>
      <c r="C94" s="6" t="s">
        <v>270</v>
      </c>
      <c r="D94" s="11"/>
      <c r="E94" s="14"/>
      <c r="F94" s="12">
        <f t="shared" si="1"/>
        <v>0</v>
      </c>
    </row>
    <row r="95" spans="1:6" ht="20.25" customHeight="1" thickTop="1" thickBot="1" x14ac:dyDescent="0.3">
      <c r="A95" s="6" t="s">
        <v>279</v>
      </c>
      <c r="B95" s="6"/>
      <c r="C95" s="6" t="s">
        <v>270</v>
      </c>
      <c r="D95" s="11">
        <v>6050</v>
      </c>
      <c r="E95" s="14"/>
      <c r="F95" s="12">
        <f t="shared" si="1"/>
        <v>0</v>
      </c>
    </row>
    <row r="96" spans="1:6" ht="20.25" customHeight="1" thickTop="1" thickBot="1" x14ac:dyDescent="0.3">
      <c r="A96" s="6" t="s">
        <v>280</v>
      </c>
      <c r="B96" s="6"/>
      <c r="C96" s="6" t="s">
        <v>270</v>
      </c>
      <c r="D96" s="11">
        <v>6550</v>
      </c>
      <c r="E96" s="14"/>
      <c r="F96" s="12">
        <f t="shared" si="1"/>
        <v>0</v>
      </c>
    </row>
    <row r="97" spans="1:6" ht="20.25" customHeight="1" thickTop="1" thickBot="1" x14ac:dyDescent="0.3">
      <c r="A97" s="6"/>
      <c r="B97" s="6"/>
      <c r="C97" s="6" t="s">
        <v>270</v>
      </c>
      <c r="D97" s="11"/>
      <c r="E97" s="14"/>
      <c r="F97" s="12">
        <f t="shared" si="1"/>
        <v>0</v>
      </c>
    </row>
    <row r="98" spans="1:6" ht="20.25" customHeight="1" thickTop="1" thickBot="1" x14ac:dyDescent="0.3">
      <c r="A98" s="6" t="s">
        <v>281</v>
      </c>
      <c r="B98" s="6"/>
      <c r="C98" s="6" t="s">
        <v>270</v>
      </c>
      <c r="D98" s="11">
        <v>6550</v>
      </c>
      <c r="E98" s="14"/>
      <c r="F98" s="12">
        <f t="shared" si="1"/>
        <v>0</v>
      </c>
    </row>
    <row r="99" spans="1:6" ht="20.25" customHeight="1" thickTop="1" thickBot="1" x14ac:dyDescent="0.3">
      <c r="A99" s="6" t="s">
        <v>282</v>
      </c>
      <c r="B99" s="6"/>
      <c r="C99" s="6" t="s">
        <v>270</v>
      </c>
      <c r="D99" s="11">
        <v>7050</v>
      </c>
      <c r="E99" s="14"/>
      <c r="F99" s="12">
        <f t="shared" si="1"/>
        <v>0</v>
      </c>
    </row>
    <row r="100" spans="1:6" ht="20.25" customHeight="1" thickTop="1" thickBot="1" x14ac:dyDescent="0.3">
      <c r="A100" s="6"/>
      <c r="B100" s="6"/>
      <c r="C100" s="6" t="s">
        <v>270</v>
      </c>
      <c r="D100" s="11"/>
      <c r="E100" s="14"/>
      <c r="F100" s="12">
        <f t="shared" si="1"/>
        <v>0</v>
      </c>
    </row>
    <row r="101" spans="1:6" ht="48.75" customHeight="1" thickTop="1" thickBot="1" x14ac:dyDescent="0.3">
      <c r="A101" s="6" t="s">
        <v>283</v>
      </c>
      <c r="B101" s="6"/>
      <c r="C101" s="6" t="s">
        <v>270</v>
      </c>
      <c r="D101" s="11">
        <v>7050</v>
      </c>
      <c r="E101" s="14"/>
      <c r="F101" s="12">
        <f t="shared" si="1"/>
        <v>0</v>
      </c>
    </row>
    <row r="102" spans="1:6" ht="41.25" customHeight="1" thickTop="1" thickBot="1" x14ac:dyDescent="0.3">
      <c r="A102" s="6" t="s">
        <v>284</v>
      </c>
      <c r="B102" s="6"/>
      <c r="C102" s="6" t="s">
        <v>270</v>
      </c>
      <c r="D102" s="11">
        <v>7550</v>
      </c>
      <c r="E102" s="14"/>
      <c r="F102" s="12">
        <f t="shared" si="1"/>
        <v>0</v>
      </c>
    </row>
    <row r="103" spans="1:6" ht="20.25" customHeight="1" thickTop="1" thickBot="1" x14ac:dyDescent="0.3">
      <c r="A103" s="6"/>
      <c r="B103" s="6"/>
      <c r="C103" s="6" t="s">
        <v>270</v>
      </c>
      <c r="D103" s="11"/>
      <c r="E103" s="14"/>
      <c r="F103" s="12">
        <f t="shared" si="1"/>
        <v>0</v>
      </c>
    </row>
    <row r="104" spans="1:6" ht="20.25" customHeight="1" thickTop="1" thickBot="1" x14ac:dyDescent="0.3">
      <c r="A104" s="6" t="s">
        <v>285</v>
      </c>
      <c r="B104" s="6"/>
      <c r="C104" s="6" t="s">
        <v>270</v>
      </c>
      <c r="D104" s="11">
        <v>5450</v>
      </c>
      <c r="E104" s="14"/>
      <c r="F104" s="12">
        <f t="shared" si="1"/>
        <v>0</v>
      </c>
    </row>
    <row r="105" spans="1:6" ht="42" customHeight="1" thickTop="1" thickBot="1" x14ac:dyDescent="0.3">
      <c r="A105" s="6" t="s">
        <v>286</v>
      </c>
      <c r="B105" s="6"/>
      <c r="C105" s="6" t="s">
        <v>270</v>
      </c>
      <c r="D105" s="11">
        <v>5950</v>
      </c>
      <c r="E105" s="14"/>
      <c r="F105" s="12">
        <f t="shared" si="1"/>
        <v>0</v>
      </c>
    </row>
    <row r="106" spans="1:6" ht="20.25" customHeight="1" thickTop="1" thickBot="1" x14ac:dyDescent="0.3">
      <c r="A106" s="6"/>
      <c r="B106" s="6"/>
      <c r="C106" s="6" t="s">
        <v>270</v>
      </c>
      <c r="D106" s="11"/>
      <c r="E106" s="14"/>
      <c r="F106" s="12">
        <f t="shared" si="1"/>
        <v>0</v>
      </c>
    </row>
    <row r="107" spans="1:6" ht="43.5" customHeight="1" thickTop="1" thickBot="1" x14ac:dyDescent="0.3">
      <c r="A107" s="6" t="s">
        <v>287</v>
      </c>
      <c r="B107" s="6"/>
      <c r="C107" s="6" t="s">
        <v>270</v>
      </c>
      <c r="D107" s="11">
        <v>6950</v>
      </c>
      <c r="E107" s="14"/>
      <c r="F107" s="12">
        <f t="shared" si="1"/>
        <v>0</v>
      </c>
    </row>
    <row r="108" spans="1:6" ht="34.5" customHeight="1" thickTop="1" thickBot="1" x14ac:dyDescent="0.3">
      <c r="A108" s="6" t="s">
        <v>288</v>
      </c>
      <c r="B108" s="6"/>
      <c r="C108" s="6" t="s">
        <v>270</v>
      </c>
      <c r="D108" s="11">
        <v>7450</v>
      </c>
      <c r="E108" s="14"/>
      <c r="F108" s="12">
        <f t="shared" si="1"/>
        <v>0</v>
      </c>
    </row>
    <row r="109" spans="1:6" ht="20.25" customHeight="1" thickTop="1" thickBot="1" x14ac:dyDescent="0.3">
      <c r="A109" s="56" t="s">
        <v>294</v>
      </c>
      <c r="B109" s="57"/>
      <c r="C109" s="57"/>
      <c r="D109" s="57"/>
      <c r="E109" s="57"/>
      <c r="F109" s="57"/>
    </row>
    <row r="110" spans="1:6" ht="20.25" customHeight="1" thickTop="1" thickBot="1" x14ac:dyDescent="0.3">
      <c r="A110" s="6" t="s">
        <v>289</v>
      </c>
      <c r="B110" s="6"/>
      <c r="C110" s="6" t="s">
        <v>270</v>
      </c>
      <c r="D110" s="11">
        <v>6700</v>
      </c>
      <c r="E110" s="14"/>
      <c r="F110" s="13">
        <f>D110*E110</f>
        <v>0</v>
      </c>
    </row>
    <row r="111" spans="1:6" ht="20.25" customHeight="1" thickTop="1" thickBot="1" x14ac:dyDescent="0.3">
      <c r="A111" s="6" t="s">
        <v>290</v>
      </c>
      <c r="B111" s="6"/>
      <c r="C111" s="6" t="s">
        <v>270</v>
      </c>
      <c r="D111" s="11">
        <v>6900</v>
      </c>
      <c r="E111" s="14"/>
      <c r="F111" s="13">
        <f>D111*E111</f>
        <v>0</v>
      </c>
    </row>
    <row r="112" spans="1:6" ht="20.25" customHeight="1" thickTop="1" thickBot="1" x14ac:dyDescent="0.3">
      <c r="A112" s="6" t="s">
        <v>291</v>
      </c>
      <c r="B112" s="6"/>
      <c r="C112" s="6" t="s">
        <v>270</v>
      </c>
      <c r="D112" s="11">
        <v>6300</v>
      </c>
      <c r="E112" s="14"/>
      <c r="F112" s="13">
        <f>D112*E112</f>
        <v>0</v>
      </c>
    </row>
    <row r="113" spans="1:6" ht="20.25" customHeight="1" thickTop="1" thickBot="1" x14ac:dyDescent="0.3">
      <c r="A113" s="6" t="s">
        <v>292</v>
      </c>
      <c r="B113" s="6"/>
      <c r="C113" s="6" t="s">
        <v>270</v>
      </c>
      <c r="D113" s="11">
        <v>6500</v>
      </c>
      <c r="E113" s="14"/>
      <c r="F113" s="13">
        <f>D113*E113</f>
        <v>0</v>
      </c>
    </row>
    <row r="114" spans="1:6" ht="20.25" customHeight="1" thickTop="1" thickBot="1" x14ac:dyDescent="0.3">
      <c r="A114" s="56" t="s">
        <v>295</v>
      </c>
      <c r="B114" s="57"/>
      <c r="C114" s="57"/>
      <c r="D114" s="57"/>
      <c r="E114" s="57"/>
      <c r="F114" s="57"/>
    </row>
    <row r="115" spans="1:6" ht="20.25" customHeight="1" thickTop="1" thickBot="1" x14ac:dyDescent="0.3">
      <c r="A115" s="6" t="s">
        <v>296</v>
      </c>
      <c r="B115" s="6"/>
      <c r="C115" s="6" t="s">
        <v>270</v>
      </c>
      <c r="D115" s="11">
        <v>13200</v>
      </c>
      <c r="E115" s="14"/>
      <c r="F115" s="13">
        <f>E115*D115</f>
        <v>0</v>
      </c>
    </row>
    <row r="116" spans="1:6" ht="39" thickTop="1" thickBot="1" x14ac:dyDescent="0.3">
      <c r="A116" s="6" t="s">
        <v>297</v>
      </c>
      <c r="B116" s="6"/>
      <c r="C116" s="6" t="s">
        <v>270</v>
      </c>
      <c r="D116" s="11">
        <v>16000</v>
      </c>
      <c r="E116" s="14"/>
      <c r="F116" s="13">
        <f t="shared" ref="F116:F121" si="3">E116*D116</f>
        <v>0</v>
      </c>
    </row>
    <row r="117" spans="1:6" ht="132.75" thickTop="1" thickBot="1" x14ac:dyDescent="0.3">
      <c r="A117" s="6" t="s">
        <v>298</v>
      </c>
      <c r="B117" s="6"/>
      <c r="C117" s="6" t="s">
        <v>270</v>
      </c>
      <c r="D117" s="11">
        <v>16220</v>
      </c>
      <c r="E117" s="14"/>
      <c r="F117" s="13">
        <f t="shared" si="3"/>
        <v>0</v>
      </c>
    </row>
    <row r="118" spans="1:6" ht="20.25" thickTop="1" thickBot="1" x14ac:dyDescent="0.3">
      <c r="A118" s="6" t="s">
        <v>299</v>
      </c>
      <c r="B118" s="6"/>
      <c r="C118" s="6" t="s">
        <v>270</v>
      </c>
      <c r="D118" s="11">
        <v>16850</v>
      </c>
      <c r="E118" s="14"/>
      <c r="F118" s="13">
        <f t="shared" si="3"/>
        <v>0</v>
      </c>
    </row>
    <row r="119" spans="1:6" ht="57.75" thickTop="1" thickBot="1" x14ac:dyDescent="0.3">
      <c r="A119" s="6" t="s">
        <v>300</v>
      </c>
      <c r="B119" s="6"/>
      <c r="C119" s="6" t="s">
        <v>270</v>
      </c>
      <c r="D119" s="11">
        <v>17160</v>
      </c>
      <c r="E119" s="14"/>
      <c r="F119" s="13">
        <f t="shared" si="3"/>
        <v>0</v>
      </c>
    </row>
    <row r="120" spans="1:6" ht="39" thickTop="1" thickBot="1" x14ac:dyDescent="0.3">
      <c r="A120" s="6" t="s">
        <v>301</v>
      </c>
      <c r="B120" s="6"/>
      <c r="C120" s="6" t="s">
        <v>270</v>
      </c>
      <c r="D120" s="11">
        <v>17520</v>
      </c>
      <c r="E120" s="14"/>
      <c r="F120" s="13">
        <f t="shared" si="3"/>
        <v>0</v>
      </c>
    </row>
    <row r="121" spans="1:6" ht="20.25" thickTop="1" thickBot="1" x14ac:dyDescent="0.3">
      <c r="A121" s="6" t="s">
        <v>302</v>
      </c>
      <c r="B121" s="6"/>
      <c r="C121" s="6" t="s">
        <v>270</v>
      </c>
      <c r="D121" s="11">
        <v>20180</v>
      </c>
      <c r="E121" s="14"/>
      <c r="F121" s="13">
        <f t="shared" si="3"/>
        <v>0</v>
      </c>
    </row>
    <row r="122" spans="1:6" ht="22.5" thickTop="1" thickBot="1" x14ac:dyDescent="0.3">
      <c r="A122" s="49" t="s">
        <v>232</v>
      </c>
      <c r="B122" s="50"/>
      <c r="C122" s="50"/>
      <c r="D122" s="50"/>
      <c r="E122" s="50"/>
      <c r="F122" s="50"/>
    </row>
    <row r="123" spans="1:6" ht="20.25" thickTop="1" thickBot="1" x14ac:dyDescent="0.3">
      <c r="A123" s="6" t="s">
        <v>219</v>
      </c>
      <c r="B123" s="6"/>
      <c r="C123" s="6" t="s">
        <v>218</v>
      </c>
      <c r="D123" s="11">
        <v>9600</v>
      </c>
      <c r="E123" s="14"/>
      <c r="F123" s="12">
        <f t="shared" si="1"/>
        <v>0</v>
      </c>
    </row>
    <row r="124" spans="1:6" ht="20.25" thickTop="1" thickBot="1" x14ac:dyDescent="0.3">
      <c r="A124" s="6" t="s">
        <v>220</v>
      </c>
      <c r="B124" s="6"/>
      <c r="C124" s="6" t="s">
        <v>218</v>
      </c>
      <c r="D124" s="11">
        <v>14400</v>
      </c>
      <c r="E124" s="14"/>
      <c r="F124" s="12">
        <f t="shared" si="1"/>
        <v>0</v>
      </c>
    </row>
    <row r="125" spans="1:6" ht="20.25" thickTop="1" thickBot="1" x14ac:dyDescent="0.3">
      <c r="A125" s="6" t="s">
        <v>221</v>
      </c>
      <c r="B125" s="6"/>
      <c r="C125" s="6" t="s">
        <v>218</v>
      </c>
      <c r="D125" s="11">
        <v>14500</v>
      </c>
      <c r="E125" s="14"/>
      <c r="F125" s="12">
        <f t="shared" si="1"/>
        <v>0</v>
      </c>
    </row>
    <row r="126" spans="1:6" ht="39" thickTop="1" thickBot="1" x14ac:dyDescent="0.3">
      <c r="A126" s="6" t="s">
        <v>225</v>
      </c>
      <c r="B126" s="6"/>
      <c r="C126" s="6" t="s">
        <v>218</v>
      </c>
      <c r="D126" s="11">
        <v>17400</v>
      </c>
      <c r="E126" s="14"/>
      <c r="F126" s="12">
        <f t="shared" si="1"/>
        <v>0</v>
      </c>
    </row>
    <row r="127" spans="1:6" ht="20.25" thickTop="1" thickBot="1" x14ac:dyDescent="0.3">
      <c r="A127" s="6" t="s">
        <v>222</v>
      </c>
      <c r="B127" s="6"/>
      <c r="C127" s="6" t="s">
        <v>218</v>
      </c>
      <c r="D127" s="11">
        <v>0</v>
      </c>
      <c r="E127" s="14"/>
      <c r="F127" s="12">
        <f t="shared" si="1"/>
        <v>0</v>
      </c>
    </row>
    <row r="128" spans="1:6" ht="20.25" thickTop="1" thickBot="1" x14ac:dyDescent="0.3">
      <c r="A128" s="6" t="s">
        <v>223</v>
      </c>
      <c r="B128" s="6"/>
      <c r="C128" s="6" t="s">
        <v>218</v>
      </c>
      <c r="D128" s="11">
        <v>0</v>
      </c>
      <c r="E128" s="14"/>
      <c r="F128" s="12">
        <f t="shared" si="1"/>
        <v>0</v>
      </c>
    </row>
    <row r="129" spans="1:6" ht="20.25" thickTop="1" thickBot="1" x14ac:dyDescent="0.3">
      <c r="A129" s="6" t="s">
        <v>224</v>
      </c>
      <c r="B129" s="6"/>
      <c r="C129" s="6" t="s">
        <v>218</v>
      </c>
      <c r="D129" s="11">
        <v>0</v>
      </c>
      <c r="E129" s="14"/>
      <c r="F129" s="12">
        <f t="shared" si="1"/>
        <v>0</v>
      </c>
    </row>
    <row r="130" spans="1:6" ht="39" thickTop="1" thickBot="1" x14ac:dyDescent="0.3">
      <c r="A130" s="6" t="s">
        <v>226</v>
      </c>
      <c r="B130" s="6"/>
      <c r="C130" s="6" t="s">
        <v>218</v>
      </c>
      <c r="D130" s="11">
        <v>0</v>
      </c>
      <c r="E130" s="14"/>
      <c r="F130" s="12">
        <f t="shared" si="1"/>
        <v>0</v>
      </c>
    </row>
    <row r="131" spans="1:6" ht="20.25" thickTop="1" thickBot="1" x14ac:dyDescent="0.3">
      <c r="A131" s="6" t="s">
        <v>313</v>
      </c>
      <c r="B131" s="6"/>
      <c r="C131" s="6" t="s">
        <v>218</v>
      </c>
      <c r="D131" s="11">
        <v>80000</v>
      </c>
      <c r="E131" s="14"/>
      <c r="F131" s="13">
        <f t="shared" si="1"/>
        <v>0</v>
      </c>
    </row>
    <row r="132" spans="1:6" ht="24.75" thickTop="1" thickBot="1" x14ac:dyDescent="0.3">
      <c r="A132" s="46" t="s">
        <v>140</v>
      </c>
      <c r="B132" s="47"/>
      <c r="C132" s="47"/>
      <c r="D132" s="47"/>
      <c r="E132" s="47"/>
      <c r="F132" s="47"/>
    </row>
    <row r="133" spans="1:6" ht="20.25" thickTop="1" thickBot="1" x14ac:dyDescent="0.3">
      <c r="A133" s="6" t="s">
        <v>140</v>
      </c>
      <c r="B133" s="6"/>
      <c r="C133" s="6"/>
      <c r="D133" s="11">
        <v>11000</v>
      </c>
      <c r="E133" s="14">
        <v>0</v>
      </c>
      <c r="F133" s="13">
        <f>D133*E133</f>
        <v>0</v>
      </c>
    </row>
    <row r="134" spans="1:6" ht="22.5" thickTop="1" thickBot="1" x14ac:dyDescent="0.3">
      <c r="A134" s="58" t="s">
        <v>309</v>
      </c>
      <c r="B134" s="59"/>
      <c r="C134" s="59"/>
      <c r="D134" s="59"/>
      <c r="E134" s="59"/>
      <c r="F134" s="60"/>
    </row>
    <row r="135" spans="1:6" ht="20.25" thickTop="1" thickBot="1" x14ac:dyDescent="0.3">
      <c r="A135" s="6" t="s">
        <v>159</v>
      </c>
      <c r="B135" s="6"/>
      <c r="C135" s="6"/>
      <c r="D135" s="11">
        <v>4250</v>
      </c>
      <c r="E135" s="28"/>
      <c r="F135" s="12">
        <f>D135*E135</f>
        <v>0</v>
      </c>
    </row>
    <row r="136" spans="1:6" ht="20.25" thickTop="1" thickBot="1" x14ac:dyDescent="0.3">
      <c r="A136" s="6" t="s">
        <v>160</v>
      </c>
      <c r="B136" s="6"/>
      <c r="C136" s="6"/>
      <c r="D136" s="11">
        <v>2000</v>
      </c>
      <c r="E136" s="28"/>
      <c r="F136" s="12">
        <f>D136*E136</f>
        <v>0</v>
      </c>
    </row>
    <row r="137" spans="1:6" ht="20.25" thickTop="1" thickBot="1" x14ac:dyDescent="0.3">
      <c r="A137" s="6" t="s">
        <v>161</v>
      </c>
      <c r="B137" s="6"/>
      <c r="C137" s="6"/>
      <c r="D137" s="11">
        <v>2500</v>
      </c>
      <c r="E137" s="28">
        <v>0</v>
      </c>
      <c r="F137" s="12">
        <f>D137*E137</f>
        <v>0</v>
      </c>
    </row>
    <row r="138" spans="1:6" ht="20.25" thickTop="1" thickBot="1" x14ac:dyDescent="0.3">
      <c r="A138" s="6" t="s">
        <v>310</v>
      </c>
      <c r="B138" s="6"/>
      <c r="C138" s="6"/>
      <c r="D138" s="11"/>
      <c r="E138" s="28"/>
      <c r="F138" s="13"/>
    </row>
    <row r="139" spans="1:6" ht="20.25" thickTop="1" thickBot="1" x14ac:dyDescent="0.3">
      <c r="A139" s="6" t="s">
        <v>311</v>
      </c>
      <c r="B139" s="6"/>
      <c r="C139" s="6"/>
      <c r="D139" s="11"/>
      <c r="E139" s="28"/>
      <c r="F139" s="13"/>
    </row>
    <row r="140" spans="1:6" ht="20.25" thickTop="1" thickBot="1" x14ac:dyDescent="0.3">
      <c r="A140" s="6" t="s">
        <v>312</v>
      </c>
      <c r="B140" s="6"/>
      <c r="C140" s="6"/>
      <c r="D140" s="11"/>
      <c r="E140" s="28"/>
      <c r="F140" s="13"/>
    </row>
    <row r="141" spans="1:6" ht="24.75" thickTop="1" thickBot="1" x14ac:dyDescent="0.3">
      <c r="A141" s="46" t="s">
        <v>37</v>
      </c>
      <c r="B141" s="47"/>
      <c r="C141" s="47"/>
      <c r="D141" s="47"/>
      <c r="E141" s="47"/>
      <c r="F141" s="48"/>
    </row>
    <row r="142" spans="1:6" ht="22.5" thickTop="1" thickBot="1" x14ac:dyDescent="0.3">
      <c r="A142" s="49" t="s">
        <v>46</v>
      </c>
      <c r="B142" s="50"/>
      <c r="C142" s="50"/>
      <c r="D142" s="50"/>
      <c r="E142" s="50"/>
      <c r="F142" s="55"/>
    </row>
    <row r="143" spans="1:6" ht="20.25" thickTop="1" thickBot="1" x14ac:dyDescent="0.3">
      <c r="A143" s="6" t="s">
        <v>325</v>
      </c>
      <c r="B143" s="6"/>
      <c r="C143" s="6" t="s">
        <v>189</v>
      </c>
      <c r="D143" s="11">
        <v>165</v>
      </c>
      <c r="E143" s="14">
        <v>10</v>
      </c>
      <c r="F143" s="12">
        <f>D143*E143</f>
        <v>1650</v>
      </c>
    </row>
    <row r="144" spans="1:6" ht="20.25" thickTop="1" thickBot="1" x14ac:dyDescent="0.3">
      <c r="A144" s="6" t="s">
        <v>330</v>
      </c>
      <c r="B144" s="6"/>
      <c r="C144" s="6" t="s">
        <v>189</v>
      </c>
      <c r="D144" s="11">
        <v>165</v>
      </c>
      <c r="E144" s="14"/>
      <c r="F144" s="12">
        <f>D144*E144</f>
        <v>0</v>
      </c>
    </row>
    <row r="145" spans="1:6" ht="20.25" thickTop="1" thickBot="1" x14ac:dyDescent="0.3">
      <c r="A145" s="6" t="s">
        <v>326</v>
      </c>
      <c r="B145" s="6"/>
      <c r="C145" s="6" t="s">
        <v>189</v>
      </c>
      <c r="D145" s="11">
        <v>145</v>
      </c>
      <c r="E145" s="14">
        <v>6</v>
      </c>
      <c r="F145" s="12"/>
    </row>
    <row r="146" spans="1:6" ht="20.25" thickTop="1" thickBot="1" x14ac:dyDescent="0.3">
      <c r="A146" s="6" t="s">
        <v>327</v>
      </c>
      <c r="B146" s="6"/>
      <c r="C146" s="6" t="s">
        <v>189</v>
      </c>
      <c r="D146" s="11">
        <v>310</v>
      </c>
      <c r="E146" s="14"/>
      <c r="F146" s="12">
        <f>D146*E146</f>
        <v>0</v>
      </c>
    </row>
    <row r="147" spans="1:6" ht="39" thickTop="1" thickBot="1" x14ac:dyDescent="0.3">
      <c r="A147" s="6" t="s">
        <v>328</v>
      </c>
      <c r="B147" s="6"/>
      <c r="C147" s="6" t="s">
        <v>189</v>
      </c>
      <c r="D147" s="11">
        <v>170</v>
      </c>
      <c r="E147" s="14"/>
      <c r="F147" s="12"/>
    </row>
    <row r="148" spans="1:6" ht="39" thickTop="1" thickBot="1" x14ac:dyDescent="0.3">
      <c r="A148" s="6" t="s">
        <v>329</v>
      </c>
      <c r="B148" s="6"/>
      <c r="C148" s="6" t="s">
        <v>189</v>
      </c>
      <c r="D148" s="11">
        <v>157</v>
      </c>
      <c r="E148" s="14"/>
      <c r="F148" s="12"/>
    </row>
    <row r="149" spans="1:6" ht="39" thickTop="1" thickBot="1" x14ac:dyDescent="0.3">
      <c r="A149" s="6" t="s">
        <v>78</v>
      </c>
      <c r="B149" s="6"/>
      <c r="C149" s="6" t="s">
        <v>189</v>
      </c>
      <c r="D149" s="11">
        <v>150</v>
      </c>
      <c r="E149" s="14"/>
      <c r="F149" s="12">
        <f>D149*E149</f>
        <v>0</v>
      </c>
    </row>
    <row r="150" spans="1:6" ht="22.5" thickTop="1" thickBot="1" x14ac:dyDescent="0.3">
      <c r="A150" s="49" t="s">
        <v>45</v>
      </c>
      <c r="B150" s="50"/>
      <c r="C150" s="50"/>
      <c r="D150" s="50"/>
      <c r="E150" s="50"/>
      <c r="F150" s="55"/>
    </row>
    <row r="151" spans="1:6" ht="20.25" thickTop="1" thickBot="1" x14ac:dyDescent="0.3">
      <c r="A151" s="6" t="s">
        <v>331</v>
      </c>
      <c r="B151" s="6"/>
      <c r="C151" s="6" t="s">
        <v>189</v>
      </c>
      <c r="D151" s="11">
        <v>490</v>
      </c>
      <c r="E151" s="14">
        <v>0</v>
      </c>
      <c r="F151" s="12">
        <f>D151*E151</f>
        <v>0</v>
      </c>
    </row>
    <row r="152" spans="1:6" ht="20.25" thickTop="1" thickBot="1" x14ac:dyDescent="0.3">
      <c r="A152" s="6" t="s">
        <v>332</v>
      </c>
      <c r="B152" s="6"/>
      <c r="C152" s="6" t="s">
        <v>189</v>
      </c>
      <c r="D152" s="11">
        <v>584</v>
      </c>
      <c r="E152" s="14"/>
      <c r="F152" s="12">
        <f t="shared" ref="F152:F158" si="4">D152*E152</f>
        <v>0</v>
      </c>
    </row>
    <row r="153" spans="1:6" ht="20.25" thickTop="1" thickBot="1" x14ac:dyDescent="0.3">
      <c r="A153" s="6" t="s">
        <v>333</v>
      </c>
      <c r="B153" s="6"/>
      <c r="C153" s="6" t="s">
        <v>189</v>
      </c>
      <c r="D153" s="11">
        <v>590</v>
      </c>
      <c r="E153" s="14"/>
      <c r="F153" s="12">
        <f t="shared" si="4"/>
        <v>0</v>
      </c>
    </row>
    <row r="154" spans="1:6" ht="20.25" thickTop="1" thickBot="1" x14ac:dyDescent="0.3">
      <c r="A154" s="6" t="s">
        <v>334</v>
      </c>
      <c r="B154" s="6"/>
      <c r="C154" s="6" t="s">
        <v>189</v>
      </c>
      <c r="D154" s="11">
        <v>951</v>
      </c>
      <c r="E154" s="14"/>
      <c r="F154" s="12">
        <f t="shared" si="4"/>
        <v>0</v>
      </c>
    </row>
    <row r="155" spans="1:6" ht="20.25" thickTop="1" thickBot="1" x14ac:dyDescent="0.3">
      <c r="A155" s="6" t="s">
        <v>335</v>
      </c>
      <c r="B155" s="6"/>
      <c r="C155" s="6" t="s">
        <v>189</v>
      </c>
      <c r="D155" s="11">
        <v>975</v>
      </c>
      <c r="E155" s="14"/>
      <c r="F155" s="12">
        <f t="shared" si="4"/>
        <v>0</v>
      </c>
    </row>
    <row r="156" spans="1:6" ht="20.25" thickTop="1" thickBot="1" x14ac:dyDescent="0.3">
      <c r="A156" s="6" t="s">
        <v>336</v>
      </c>
      <c r="B156" s="6"/>
      <c r="C156" s="6" t="s">
        <v>189</v>
      </c>
      <c r="D156" s="11">
        <v>1701</v>
      </c>
      <c r="E156" s="28">
        <v>0</v>
      </c>
      <c r="F156" s="12">
        <f t="shared" si="4"/>
        <v>0</v>
      </c>
    </row>
    <row r="157" spans="1:6" ht="39" thickTop="1" thickBot="1" x14ac:dyDescent="0.3">
      <c r="A157" s="6" t="s">
        <v>337</v>
      </c>
      <c r="B157" s="6"/>
      <c r="C157" s="6" t="s">
        <v>189</v>
      </c>
      <c r="D157" s="11">
        <v>462</v>
      </c>
      <c r="E157" s="28"/>
      <c r="F157" s="12">
        <f t="shared" si="4"/>
        <v>0</v>
      </c>
    </row>
    <row r="158" spans="1:6" ht="39" thickTop="1" thickBot="1" x14ac:dyDescent="0.3">
      <c r="A158" s="6" t="s">
        <v>338</v>
      </c>
      <c r="B158" s="6"/>
      <c r="C158" s="6" t="s">
        <v>189</v>
      </c>
      <c r="D158" s="11">
        <v>589</v>
      </c>
      <c r="E158" s="14">
        <v>0</v>
      </c>
      <c r="F158" s="12">
        <f t="shared" si="4"/>
        <v>0</v>
      </c>
    </row>
    <row r="159" spans="1:6" ht="24.75" thickTop="1" thickBot="1" x14ac:dyDescent="0.3">
      <c r="A159" s="61" t="s">
        <v>233</v>
      </c>
      <c r="B159" s="62"/>
      <c r="C159" s="62"/>
      <c r="D159" s="62"/>
      <c r="E159" s="62"/>
      <c r="F159" s="62"/>
    </row>
    <row r="160" spans="1:6" ht="20.25" thickTop="1" thickBot="1" x14ac:dyDescent="0.3">
      <c r="A160" s="6" t="s">
        <v>234</v>
      </c>
      <c r="B160" s="6"/>
      <c r="C160" s="6" t="s">
        <v>260</v>
      </c>
      <c r="D160" s="11">
        <v>357</v>
      </c>
      <c r="E160" s="14"/>
      <c r="F160" s="13">
        <f>E160*D160</f>
        <v>0</v>
      </c>
    </row>
    <row r="161" spans="1:6" ht="20.25" thickTop="1" thickBot="1" x14ac:dyDescent="0.3">
      <c r="A161" s="6" t="s">
        <v>235</v>
      </c>
      <c r="B161" s="6"/>
      <c r="C161" s="6" t="s">
        <v>260</v>
      </c>
      <c r="D161" s="11">
        <v>407</v>
      </c>
      <c r="E161" s="14"/>
      <c r="F161" s="13">
        <f t="shared" ref="F161:F168" si="5">E161*D161</f>
        <v>0</v>
      </c>
    </row>
    <row r="162" spans="1:6" ht="20.25" thickTop="1" thickBot="1" x14ac:dyDescent="0.3">
      <c r="A162" s="6" t="s">
        <v>236</v>
      </c>
      <c r="B162" s="6"/>
      <c r="C162" s="6" t="s">
        <v>260</v>
      </c>
      <c r="D162" s="11">
        <v>427</v>
      </c>
      <c r="E162" s="14"/>
      <c r="F162" s="13">
        <f t="shared" si="5"/>
        <v>0</v>
      </c>
    </row>
    <row r="163" spans="1:6" ht="20.25" thickTop="1" thickBot="1" x14ac:dyDescent="0.3">
      <c r="A163" s="6" t="s">
        <v>237</v>
      </c>
      <c r="B163" s="6"/>
      <c r="C163" s="6" t="s">
        <v>260</v>
      </c>
      <c r="D163" s="11">
        <v>603</v>
      </c>
      <c r="E163" s="14"/>
      <c r="F163" s="13">
        <f t="shared" si="5"/>
        <v>0</v>
      </c>
    </row>
    <row r="164" spans="1:6" ht="20.25" thickTop="1" thickBot="1" x14ac:dyDescent="0.3">
      <c r="A164" s="6" t="s">
        <v>238</v>
      </c>
      <c r="B164" s="6"/>
      <c r="C164" s="6" t="s">
        <v>260</v>
      </c>
      <c r="D164" s="11">
        <v>784</v>
      </c>
      <c r="E164" s="14"/>
      <c r="F164" s="13">
        <f t="shared" si="5"/>
        <v>0</v>
      </c>
    </row>
    <row r="165" spans="1:6" ht="20.25" thickTop="1" thickBot="1" x14ac:dyDescent="0.3">
      <c r="A165" s="6" t="s">
        <v>239</v>
      </c>
      <c r="B165" s="6"/>
      <c r="C165" s="6" t="s">
        <v>260</v>
      </c>
      <c r="D165" s="11">
        <v>172</v>
      </c>
      <c r="E165" s="14"/>
      <c r="F165" s="13">
        <f t="shared" si="5"/>
        <v>0</v>
      </c>
    </row>
    <row r="166" spans="1:6" ht="20.25" thickTop="1" thickBot="1" x14ac:dyDescent="0.3">
      <c r="A166" s="6" t="s">
        <v>240</v>
      </c>
      <c r="B166" s="6"/>
      <c r="C166" s="6" t="s">
        <v>260</v>
      </c>
      <c r="D166" s="11">
        <v>653</v>
      </c>
      <c r="E166" s="14"/>
      <c r="F166" s="13">
        <f t="shared" si="5"/>
        <v>0</v>
      </c>
    </row>
    <row r="167" spans="1:6" ht="20.25" thickTop="1" thickBot="1" x14ac:dyDescent="0.3">
      <c r="A167" s="6" t="s">
        <v>241</v>
      </c>
      <c r="B167" s="6"/>
      <c r="C167" s="6" t="s">
        <v>260</v>
      </c>
      <c r="D167" s="11">
        <v>535</v>
      </c>
      <c r="E167" s="14"/>
      <c r="F167" s="13">
        <f t="shared" si="5"/>
        <v>0</v>
      </c>
    </row>
    <row r="168" spans="1:6" ht="20.25" thickTop="1" thickBot="1" x14ac:dyDescent="0.3">
      <c r="A168" s="6" t="s">
        <v>242</v>
      </c>
      <c r="B168" s="6"/>
      <c r="C168" s="6" t="s">
        <v>260</v>
      </c>
      <c r="D168" s="11">
        <v>523</v>
      </c>
      <c r="E168" s="14"/>
      <c r="F168" s="13">
        <f t="shared" si="5"/>
        <v>0</v>
      </c>
    </row>
    <row r="169" spans="1:6" ht="22.5" thickTop="1" thickBot="1" x14ac:dyDescent="0.3">
      <c r="A169" s="49" t="s">
        <v>47</v>
      </c>
      <c r="B169" s="50"/>
      <c r="C169" s="50"/>
      <c r="D169" s="50"/>
      <c r="E169" s="50"/>
      <c r="F169" s="55"/>
    </row>
    <row r="170" spans="1:6" ht="20.25" thickTop="1" thickBot="1" x14ac:dyDescent="0.3">
      <c r="A170" s="6" t="s">
        <v>339</v>
      </c>
      <c r="B170" s="6"/>
      <c r="C170" s="6" t="s">
        <v>189</v>
      </c>
      <c r="D170" s="11">
        <v>14000</v>
      </c>
      <c r="E170" s="14"/>
      <c r="F170" s="12">
        <f>D170*E170</f>
        <v>0</v>
      </c>
    </row>
    <row r="171" spans="1:6" ht="57.75" thickTop="1" thickBot="1" x14ac:dyDescent="0.3">
      <c r="A171" s="6" t="s">
        <v>340</v>
      </c>
      <c r="B171" s="6"/>
      <c r="C171" s="6" t="s">
        <v>189</v>
      </c>
      <c r="D171" s="11">
        <v>2311</v>
      </c>
      <c r="E171" s="14"/>
      <c r="F171" s="12">
        <f t="shared" ref="F171:F178" si="6">D171*E171</f>
        <v>0</v>
      </c>
    </row>
    <row r="172" spans="1:6" ht="39" thickTop="1" thickBot="1" x14ac:dyDescent="0.3">
      <c r="A172" s="6" t="s">
        <v>342</v>
      </c>
      <c r="B172" s="6"/>
      <c r="C172" s="6" t="s">
        <v>189</v>
      </c>
      <c r="D172" s="11">
        <v>3869</v>
      </c>
      <c r="E172" s="14"/>
      <c r="F172" s="12"/>
    </row>
    <row r="173" spans="1:6" ht="39" thickTop="1" thickBot="1" x14ac:dyDescent="0.3">
      <c r="A173" s="6" t="s">
        <v>341</v>
      </c>
      <c r="B173" s="6"/>
      <c r="C173" s="6" t="s">
        <v>189</v>
      </c>
      <c r="D173" s="11">
        <v>3000</v>
      </c>
      <c r="E173" s="14"/>
      <c r="F173" s="12"/>
    </row>
    <row r="174" spans="1:6" ht="39" thickTop="1" thickBot="1" x14ac:dyDescent="0.3">
      <c r="A174" s="6" t="s">
        <v>343</v>
      </c>
      <c r="B174" s="6"/>
      <c r="C174" s="6" t="s">
        <v>189</v>
      </c>
      <c r="D174" s="11">
        <v>4683</v>
      </c>
      <c r="E174" s="14"/>
      <c r="F174" s="12">
        <f t="shared" si="6"/>
        <v>0</v>
      </c>
    </row>
    <row r="175" spans="1:6" ht="32.25" customHeight="1" thickTop="1" thickBot="1" x14ac:dyDescent="0.3">
      <c r="A175" s="6" t="s">
        <v>344</v>
      </c>
      <c r="B175" s="6"/>
      <c r="C175" s="6" t="s">
        <v>189</v>
      </c>
      <c r="D175" s="11">
        <v>3700</v>
      </c>
      <c r="E175" s="14"/>
      <c r="F175" s="12">
        <f t="shared" si="6"/>
        <v>0</v>
      </c>
    </row>
    <row r="176" spans="1:6" ht="39" customHeight="1" thickTop="1" thickBot="1" x14ac:dyDescent="0.3">
      <c r="A176" s="6" t="s">
        <v>345</v>
      </c>
      <c r="B176" s="6"/>
      <c r="C176" s="6" t="s">
        <v>189</v>
      </c>
      <c r="D176" s="11">
        <v>4700</v>
      </c>
      <c r="E176" s="14"/>
      <c r="F176" s="12">
        <f t="shared" si="6"/>
        <v>0</v>
      </c>
    </row>
    <row r="177" spans="1:6" ht="57.75" thickTop="1" thickBot="1" x14ac:dyDescent="0.3">
      <c r="A177" s="6" t="s">
        <v>346</v>
      </c>
      <c r="B177" s="6"/>
      <c r="C177" s="6" t="s">
        <v>189</v>
      </c>
      <c r="D177" s="11">
        <v>7600</v>
      </c>
      <c r="E177" s="14"/>
      <c r="F177" s="12">
        <f t="shared" si="6"/>
        <v>0</v>
      </c>
    </row>
    <row r="178" spans="1:6" ht="39" thickTop="1" thickBot="1" x14ac:dyDescent="0.3">
      <c r="A178" s="6" t="s">
        <v>347</v>
      </c>
      <c r="B178" s="6"/>
      <c r="C178" s="6" t="s">
        <v>189</v>
      </c>
      <c r="D178" s="11">
        <v>9300</v>
      </c>
      <c r="E178" s="14"/>
      <c r="F178" s="12">
        <f t="shared" si="6"/>
        <v>0</v>
      </c>
    </row>
    <row r="179" spans="1:6" ht="22.5" thickTop="1" thickBot="1" x14ac:dyDescent="0.3">
      <c r="A179" s="49" t="s">
        <v>48</v>
      </c>
      <c r="B179" s="50"/>
      <c r="C179" s="50"/>
      <c r="D179" s="50"/>
      <c r="E179" s="50"/>
      <c r="F179" s="55"/>
    </row>
    <row r="180" spans="1:6" ht="20.25" thickTop="1" thickBot="1" x14ac:dyDescent="0.3">
      <c r="A180" s="6" t="s">
        <v>113</v>
      </c>
      <c r="B180" s="6"/>
      <c r="C180" s="6" t="s">
        <v>260</v>
      </c>
      <c r="D180" s="11">
        <v>8203</v>
      </c>
      <c r="E180" s="14"/>
      <c r="F180" s="12">
        <f>D180*E180</f>
        <v>0</v>
      </c>
    </row>
    <row r="181" spans="1:6" ht="39" thickTop="1" thickBot="1" x14ac:dyDescent="0.3">
      <c r="A181" s="6" t="s">
        <v>109</v>
      </c>
      <c r="B181" s="6"/>
      <c r="C181" s="6" t="s">
        <v>260</v>
      </c>
      <c r="D181" s="11">
        <v>1113</v>
      </c>
      <c r="E181" s="14"/>
      <c r="F181" s="12">
        <f>D181*E181</f>
        <v>0</v>
      </c>
    </row>
    <row r="182" spans="1:6" ht="39" thickTop="1" thickBot="1" x14ac:dyDescent="0.3">
      <c r="A182" s="6" t="s">
        <v>110</v>
      </c>
      <c r="B182" s="6"/>
      <c r="C182" s="6" t="s">
        <v>260</v>
      </c>
      <c r="D182" s="11">
        <v>1829</v>
      </c>
      <c r="E182" s="14"/>
      <c r="F182" s="13">
        <f>D182*E182</f>
        <v>0</v>
      </c>
    </row>
    <row r="183" spans="1:6" ht="39" thickTop="1" thickBot="1" x14ac:dyDescent="0.3">
      <c r="A183" s="6" t="s">
        <v>111</v>
      </c>
      <c r="B183" s="6"/>
      <c r="C183" s="6" t="s">
        <v>260</v>
      </c>
      <c r="D183" s="11">
        <v>1245</v>
      </c>
      <c r="E183" s="14"/>
      <c r="F183" s="13">
        <f>D183*E183</f>
        <v>0</v>
      </c>
    </row>
    <row r="184" spans="1:6" ht="39" thickTop="1" thickBot="1" x14ac:dyDescent="0.3">
      <c r="A184" s="6" t="s">
        <v>112</v>
      </c>
      <c r="B184" s="6"/>
      <c r="C184" s="6" t="s">
        <v>260</v>
      </c>
      <c r="D184" s="11">
        <v>2166</v>
      </c>
      <c r="E184" s="14"/>
      <c r="F184" s="13">
        <f>D184*E184</f>
        <v>0</v>
      </c>
    </row>
    <row r="185" spans="1:6" ht="22.5" thickTop="1" thickBot="1" x14ac:dyDescent="0.3">
      <c r="A185" s="49" t="s">
        <v>259</v>
      </c>
      <c r="B185" s="50"/>
      <c r="C185" s="50"/>
      <c r="D185" s="50"/>
      <c r="E185" s="50"/>
      <c r="F185" s="50"/>
    </row>
    <row r="186" spans="1:6" ht="20.25" thickTop="1" thickBot="1" x14ac:dyDescent="0.3">
      <c r="A186" s="6" t="s">
        <v>243</v>
      </c>
      <c r="B186" s="6"/>
      <c r="C186" s="6" t="s">
        <v>260</v>
      </c>
      <c r="D186" s="11">
        <v>6633</v>
      </c>
      <c r="E186" s="14"/>
      <c r="F186" s="13">
        <f>E186*D186</f>
        <v>0</v>
      </c>
    </row>
    <row r="187" spans="1:6" ht="39" thickTop="1" thickBot="1" x14ac:dyDescent="0.3">
      <c r="A187" s="6" t="s">
        <v>244</v>
      </c>
      <c r="B187" s="6"/>
      <c r="C187" s="6" t="s">
        <v>260</v>
      </c>
      <c r="D187" s="11">
        <v>3305</v>
      </c>
      <c r="E187" s="14"/>
      <c r="F187" s="13">
        <f>E187*D187</f>
        <v>0</v>
      </c>
    </row>
    <row r="188" spans="1:6" ht="39" thickTop="1" thickBot="1" x14ac:dyDescent="0.3">
      <c r="A188" s="6" t="s">
        <v>245</v>
      </c>
      <c r="B188" s="6"/>
      <c r="C188" s="6" t="s">
        <v>260</v>
      </c>
      <c r="D188" s="11">
        <v>4178</v>
      </c>
      <c r="E188" s="14"/>
      <c r="F188" s="13">
        <f>E188*D188</f>
        <v>0</v>
      </c>
    </row>
    <row r="189" spans="1:6" ht="39" thickTop="1" thickBot="1" x14ac:dyDescent="0.3">
      <c r="A189" s="6" t="s">
        <v>246</v>
      </c>
      <c r="B189" s="6"/>
      <c r="C189" s="6" t="s">
        <v>260</v>
      </c>
      <c r="D189" s="11">
        <v>4974</v>
      </c>
      <c r="E189" s="14"/>
      <c r="F189" s="13">
        <f>E189*D189</f>
        <v>0</v>
      </c>
    </row>
    <row r="190" spans="1:6" ht="20.25" thickTop="1" thickBot="1" x14ac:dyDescent="0.3">
      <c r="A190" s="53"/>
      <c r="B190" s="54"/>
      <c r="C190" s="54"/>
      <c r="D190" s="54"/>
      <c r="E190" s="54"/>
      <c r="F190" s="54"/>
    </row>
    <row r="191" spans="1:6" ht="39" thickTop="1" thickBot="1" x14ac:dyDescent="0.3">
      <c r="A191" s="6" t="s">
        <v>247</v>
      </c>
      <c r="B191" s="6"/>
      <c r="C191" s="6" t="s">
        <v>260</v>
      </c>
      <c r="D191" s="11">
        <v>4514</v>
      </c>
      <c r="E191" s="14"/>
      <c r="F191" s="13">
        <f>E191*D191</f>
        <v>0</v>
      </c>
    </row>
    <row r="192" spans="1:6" ht="39" thickTop="1" thickBot="1" x14ac:dyDescent="0.3">
      <c r="A192" s="6" t="s">
        <v>248</v>
      </c>
      <c r="B192" s="6"/>
      <c r="C192" s="6" t="s">
        <v>260</v>
      </c>
      <c r="D192" s="11">
        <v>5437</v>
      </c>
      <c r="E192" s="14"/>
      <c r="F192" s="13">
        <f>E192*D192</f>
        <v>0</v>
      </c>
    </row>
    <row r="193" spans="1:6" ht="39" thickTop="1" thickBot="1" x14ac:dyDescent="0.3">
      <c r="A193" s="6" t="s">
        <v>249</v>
      </c>
      <c r="B193" s="6"/>
      <c r="C193" s="6" t="s">
        <v>260</v>
      </c>
      <c r="D193" s="11">
        <v>6243</v>
      </c>
      <c r="E193" s="14"/>
      <c r="F193" s="13">
        <f>E193*D193</f>
        <v>0</v>
      </c>
    </row>
    <row r="194" spans="1:6" ht="20.25" thickTop="1" thickBot="1" x14ac:dyDescent="0.3">
      <c r="A194" s="53"/>
      <c r="B194" s="54"/>
      <c r="C194" s="54"/>
      <c r="D194" s="54"/>
      <c r="E194" s="54"/>
      <c r="F194" s="54"/>
    </row>
    <row r="195" spans="1:6" ht="39" thickTop="1" thickBot="1" x14ac:dyDescent="0.3">
      <c r="A195" s="6" t="s">
        <v>250</v>
      </c>
      <c r="B195" s="6"/>
      <c r="C195" s="6" t="s">
        <v>260</v>
      </c>
      <c r="D195" s="11">
        <v>10007</v>
      </c>
      <c r="E195" s="14"/>
      <c r="F195" s="13">
        <f>E195*D195</f>
        <v>0</v>
      </c>
    </row>
    <row r="196" spans="1:6" ht="39" thickTop="1" thickBot="1" x14ac:dyDescent="0.3">
      <c r="A196" s="6" t="s">
        <v>251</v>
      </c>
      <c r="B196" s="6"/>
      <c r="C196" s="6" t="s">
        <v>260</v>
      </c>
      <c r="D196" s="11">
        <v>4875</v>
      </c>
      <c r="E196" s="14"/>
      <c r="F196" s="13">
        <f>E196*D196</f>
        <v>0</v>
      </c>
    </row>
    <row r="197" spans="1:6" ht="39" thickTop="1" thickBot="1" x14ac:dyDescent="0.3">
      <c r="A197" s="6" t="s">
        <v>252</v>
      </c>
      <c r="B197" s="6"/>
      <c r="C197" s="6" t="s">
        <v>260</v>
      </c>
      <c r="D197" s="11">
        <v>5434</v>
      </c>
      <c r="E197" s="14"/>
      <c r="F197" s="13">
        <f>E197*D197</f>
        <v>0</v>
      </c>
    </row>
    <row r="198" spans="1:6" ht="39" thickTop="1" thickBot="1" x14ac:dyDescent="0.3">
      <c r="A198" s="6" t="s">
        <v>253</v>
      </c>
      <c r="B198" s="6"/>
      <c r="C198" s="6" t="s">
        <v>260</v>
      </c>
      <c r="D198" s="11">
        <v>6254</v>
      </c>
      <c r="E198" s="14"/>
      <c r="F198" s="13">
        <f>E198*D198</f>
        <v>0</v>
      </c>
    </row>
    <row r="199" spans="1:6" ht="39" thickTop="1" thickBot="1" x14ac:dyDescent="0.3">
      <c r="A199" s="6" t="s">
        <v>254</v>
      </c>
      <c r="B199" s="6"/>
      <c r="C199" s="6" t="s">
        <v>260</v>
      </c>
      <c r="D199" s="11">
        <v>7990</v>
      </c>
      <c r="E199" s="14"/>
      <c r="F199" s="13">
        <f>E199*D199</f>
        <v>0</v>
      </c>
    </row>
    <row r="200" spans="1:6" ht="20.25" thickTop="1" thickBot="1" x14ac:dyDescent="0.3">
      <c r="A200" s="53"/>
      <c r="B200" s="54"/>
      <c r="C200" s="54"/>
      <c r="D200" s="54"/>
      <c r="E200" s="54"/>
      <c r="F200" s="54"/>
    </row>
    <row r="201" spans="1:6" ht="39" thickTop="1" thickBot="1" x14ac:dyDescent="0.3">
      <c r="A201" s="6" t="s">
        <v>255</v>
      </c>
      <c r="B201" s="6"/>
      <c r="C201" s="6" t="s">
        <v>260</v>
      </c>
      <c r="D201" s="11">
        <v>7490</v>
      </c>
      <c r="E201" s="14"/>
      <c r="F201" s="13">
        <f>E201*D201</f>
        <v>0</v>
      </c>
    </row>
    <row r="202" spans="1:6" ht="39" thickTop="1" thickBot="1" x14ac:dyDescent="0.3">
      <c r="A202" s="6" t="s">
        <v>256</v>
      </c>
      <c r="B202" s="6"/>
      <c r="C202" s="6" t="s">
        <v>260</v>
      </c>
      <c r="D202" s="11">
        <v>8042</v>
      </c>
      <c r="E202" s="14"/>
      <c r="F202" s="13">
        <f>E202*D202</f>
        <v>0</v>
      </c>
    </row>
    <row r="203" spans="1:6" ht="39" thickTop="1" thickBot="1" x14ac:dyDescent="0.3">
      <c r="A203" s="6" t="s">
        <v>257</v>
      </c>
      <c r="B203" s="6"/>
      <c r="C203" s="6" t="s">
        <v>260</v>
      </c>
      <c r="D203" s="11">
        <v>8862</v>
      </c>
      <c r="E203" s="14"/>
      <c r="F203" s="13">
        <f>E203*D203</f>
        <v>0</v>
      </c>
    </row>
    <row r="204" spans="1:6" ht="39" thickTop="1" thickBot="1" x14ac:dyDescent="0.3">
      <c r="A204" s="6" t="s">
        <v>258</v>
      </c>
      <c r="B204" s="6"/>
      <c r="C204" s="6" t="s">
        <v>260</v>
      </c>
      <c r="D204" s="11">
        <v>10598</v>
      </c>
      <c r="E204" s="14"/>
      <c r="F204" s="13">
        <f>E204*D204</f>
        <v>0</v>
      </c>
    </row>
    <row r="205" spans="1:6" ht="22.5" thickTop="1" thickBot="1" x14ac:dyDescent="0.3">
      <c r="A205" s="49" t="s">
        <v>49</v>
      </c>
      <c r="B205" s="50"/>
      <c r="C205" s="50"/>
      <c r="D205" s="50"/>
      <c r="E205" s="50"/>
      <c r="F205" s="50"/>
    </row>
    <row r="206" spans="1:6" ht="22.5" thickTop="1" thickBot="1" x14ac:dyDescent="0.3">
      <c r="A206" s="51" t="s">
        <v>307</v>
      </c>
      <c r="B206" s="52"/>
      <c r="C206" s="52"/>
      <c r="D206" s="52"/>
      <c r="E206" s="52"/>
      <c r="F206" s="52"/>
    </row>
    <row r="207" spans="1:6" ht="20.25" thickTop="1" thickBot="1" x14ac:dyDescent="0.3">
      <c r="A207" s="6" t="s">
        <v>261</v>
      </c>
      <c r="B207" s="6"/>
      <c r="C207" s="6" t="s">
        <v>189</v>
      </c>
      <c r="D207" s="11">
        <v>9000</v>
      </c>
      <c r="E207" s="14">
        <v>0</v>
      </c>
      <c r="F207" s="12">
        <f>D207*E207</f>
        <v>0</v>
      </c>
    </row>
    <row r="208" spans="1:6" ht="20.25" thickTop="1" thickBot="1" x14ac:dyDescent="0.3">
      <c r="A208" s="6" t="s">
        <v>262</v>
      </c>
      <c r="B208" s="6"/>
      <c r="C208" s="6" t="s">
        <v>189</v>
      </c>
      <c r="D208" s="11">
        <v>5300</v>
      </c>
      <c r="E208" s="14">
        <v>0</v>
      </c>
      <c r="F208" s="12">
        <f t="shared" ref="F208:F216" si="7">D208*E208</f>
        <v>0</v>
      </c>
    </row>
    <row r="209" spans="1:6" ht="39" thickTop="1" thickBot="1" x14ac:dyDescent="0.3">
      <c r="A209" s="6" t="s">
        <v>263</v>
      </c>
      <c r="B209" s="6"/>
      <c r="C209" s="6" t="s">
        <v>189</v>
      </c>
      <c r="D209" s="11">
        <v>6500</v>
      </c>
      <c r="E209" s="14">
        <v>0</v>
      </c>
      <c r="F209" s="12">
        <f t="shared" si="7"/>
        <v>0</v>
      </c>
    </row>
    <row r="210" spans="1:6" ht="39" thickTop="1" thickBot="1" x14ac:dyDescent="0.3">
      <c r="A210" s="6" t="s">
        <v>264</v>
      </c>
      <c r="B210" s="6"/>
      <c r="C210" s="6" t="s">
        <v>189</v>
      </c>
      <c r="D210" s="11">
        <v>7600</v>
      </c>
      <c r="E210" s="14">
        <v>0</v>
      </c>
      <c r="F210" s="12"/>
    </row>
    <row r="211" spans="1:6" ht="20.25" thickTop="1" thickBot="1" x14ac:dyDescent="0.3">
      <c r="A211" s="6" t="s">
        <v>350</v>
      </c>
      <c r="B211" s="6"/>
      <c r="C211" s="6" t="s">
        <v>189</v>
      </c>
      <c r="D211" s="11">
        <v>5900</v>
      </c>
      <c r="E211" s="14">
        <v>0</v>
      </c>
      <c r="F211" s="12">
        <f t="shared" si="7"/>
        <v>0</v>
      </c>
    </row>
    <row r="212" spans="1:6" ht="22.5" thickTop="1" thickBot="1" x14ac:dyDescent="0.3">
      <c r="A212" s="51" t="s">
        <v>308</v>
      </c>
      <c r="B212" s="52"/>
      <c r="C212" s="52"/>
      <c r="D212" s="52"/>
      <c r="E212" s="52"/>
      <c r="F212" s="52"/>
    </row>
    <row r="213" spans="1:6" ht="20.25" thickTop="1" thickBot="1" x14ac:dyDescent="0.3">
      <c r="A213" s="6" t="s">
        <v>348</v>
      </c>
      <c r="B213" s="6"/>
      <c r="C213" s="6" t="s">
        <v>189</v>
      </c>
      <c r="D213" s="11">
        <v>11800</v>
      </c>
      <c r="E213" s="14"/>
      <c r="F213" s="12">
        <f t="shared" si="7"/>
        <v>0</v>
      </c>
    </row>
    <row r="214" spans="1:6" ht="39" thickTop="1" thickBot="1" x14ac:dyDescent="0.3">
      <c r="A214" s="6" t="s">
        <v>265</v>
      </c>
      <c r="B214" s="6"/>
      <c r="C214" s="6" t="s">
        <v>189</v>
      </c>
      <c r="D214" s="11">
        <v>8500</v>
      </c>
      <c r="E214" s="14"/>
      <c r="F214" s="12">
        <f t="shared" si="7"/>
        <v>0</v>
      </c>
    </row>
    <row r="215" spans="1:6" ht="39" thickTop="1" thickBot="1" x14ac:dyDescent="0.3">
      <c r="A215" s="6" t="s">
        <v>266</v>
      </c>
      <c r="B215" s="6"/>
      <c r="C215" s="6" t="s">
        <v>189</v>
      </c>
      <c r="D215" s="11">
        <v>9700</v>
      </c>
      <c r="E215" s="14"/>
      <c r="F215" s="12">
        <f t="shared" si="7"/>
        <v>0</v>
      </c>
    </row>
    <row r="216" spans="1:6" ht="39" thickTop="1" thickBot="1" x14ac:dyDescent="0.3">
      <c r="A216" s="6" t="s">
        <v>267</v>
      </c>
      <c r="B216" s="6"/>
      <c r="C216" s="6" t="s">
        <v>189</v>
      </c>
      <c r="D216" s="11">
        <v>10800</v>
      </c>
      <c r="E216" s="14"/>
      <c r="F216" s="12">
        <f t="shared" si="7"/>
        <v>0</v>
      </c>
    </row>
    <row r="217" spans="1:6" ht="22.5" thickTop="1" thickBot="1" x14ac:dyDescent="0.3">
      <c r="A217" s="51" t="s">
        <v>268</v>
      </c>
      <c r="B217" s="52"/>
      <c r="C217" s="52"/>
      <c r="D217" s="52"/>
      <c r="E217" s="52"/>
      <c r="F217" s="52"/>
    </row>
    <row r="218" spans="1:6" ht="20.25" thickTop="1" thickBot="1" x14ac:dyDescent="0.3">
      <c r="A218" s="6" t="s">
        <v>362</v>
      </c>
      <c r="B218" s="6"/>
      <c r="C218" s="6" t="s">
        <v>189</v>
      </c>
      <c r="D218" s="11">
        <v>12800</v>
      </c>
      <c r="E218" s="14"/>
      <c r="F218" s="13"/>
    </row>
    <row r="219" spans="1:6" ht="20.25" thickTop="1" thickBot="1" x14ac:dyDescent="0.3">
      <c r="A219" s="6" t="s">
        <v>349</v>
      </c>
      <c r="B219" s="6"/>
      <c r="C219" s="6" t="s">
        <v>189</v>
      </c>
      <c r="D219" s="11">
        <v>7230</v>
      </c>
      <c r="E219" s="14"/>
      <c r="F219" s="13"/>
    </row>
    <row r="220" spans="1:6" ht="20.25" thickTop="1" thickBot="1" x14ac:dyDescent="0.3">
      <c r="A220" s="6" t="s">
        <v>351</v>
      </c>
      <c r="B220" s="6"/>
      <c r="C220" s="6" t="s">
        <v>189</v>
      </c>
      <c r="D220" s="11">
        <v>8200</v>
      </c>
      <c r="E220" s="14"/>
      <c r="F220" s="13"/>
    </row>
    <row r="221" spans="1:6" ht="20.25" thickTop="1" thickBot="1" x14ac:dyDescent="0.3">
      <c r="A221" s="6" t="s">
        <v>352</v>
      </c>
      <c r="B221" s="6"/>
      <c r="C221" s="6" t="s">
        <v>189</v>
      </c>
      <c r="D221" s="11">
        <v>9200</v>
      </c>
      <c r="E221" s="14"/>
      <c r="F221" s="13"/>
    </row>
    <row r="222" spans="1:6" ht="20.25" thickTop="1" thickBot="1" x14ac:dyDescent="0.3">
      <c r="A222" s="6" t="s">
        <v>353</v>
      </c>
      <c r="B222" s="6"/>
      <c r="C222" s="6" t="s">
        <v>189</v>
      </c>
      <c r="D222" s="11">
        <v>13150</v>
      </c>
      <c r="E222" s="14"/>
      <c r="F222" s="13"/>
    </row>
    <row r="223" spans="1:6" ht="20.25" thickTop="1" thickBot="1" x14ac:dyDescent="0.3">
      <c r="A223" s="6" t="s">
        <v>361</v>
      </c>
      <c r="B223" s="6"/>
      <c r="C223" s="6" t="s">
        <v>189</v>
      </c>
      <c r="D223" s="11">
        <v>10600</v>
      </c>
      <c r="E223" s="14"/>
      <c r="F223" s="13"/>
    </row>
    <row r="224" spans="1:6" ht="22.5" thickTop="1" thickBot="1" x14ac:dyDescent="0.3">
      <c r="A224" s="51" t="s">
        <v>354</v>
      </c>
      <c r="B224" s="52"/>
      <c r="C224" s="52"/>
      <c r="D224" s="52"/>
      <c r="E224" s="52"/>
      <c r="F224" s="52"/>
    </row>
    <row r="225" spans="1:6" ht="20.25" thickTop="1" thickBot="1" x14ac:dyDescent="0.3">
      <c r="A225" s="6" t="s">
        <v>355</v>
      </c>
      <c r="B225" s="6"/>
      <c r="C225" s="6" t="s">
        <v>189</v>
      </c>
      <c r="D225" s="11">
        <v>15150</v>
      </c>
      <c r="E225" s="14"/>
      <c r="F225" s="13"/>
    </row>
    <row r="226" spans="1:6" ht="39" thickTop="1" thickBot="1" x14ac:dyDescent="0.3">
      <c r="A226" s="6" t="s">
        <v>356</v>
      </c>
      <c r="B226" s="6"/>
      <c r="C226" s="6" t="s">
        <v>189</v>
      </c>
      <c r="D226" s="11">
        <v>10445</v>
      </c>
      <c r="E226" s="14"/>
      <c r="F226" s="13"/>
    </row>
    <row r="227" spans="1:6" ht="20.25" thickTop="1" thickBot="1" x14ac:dyDescent="0.3">
      <c r="A227" s="6" t="s">
        <v>357</v>
      </c>
      <c r="B227" s="6"/>
      <c r="C227" s="6" t="s">
        <v>189</v>
      </c>
      <c r="D227" s="11">
        <v>11382</v>
      </c>
      <c r="E227" s="14"/>
      <c r="F227" s="13"/>
    </row>
    <row r="228" spans="1:6" ht="20.25" thickTop="1" thickBot="1" x14ac:dyDescent="0.3">
      <c r="A228" s="6" t="s">
        <v>358</v>
      </c>
      <c r="B228" s="6"/>
      <c r="C228" s="6" t="s">
        <v>189</v>
      </c>
      <c r="D228" s="11">
        <v>12446</v>
      </c>
      <c r="E228" s="14"/>
      <c r="F228" s="13"/>
    </row>
    <row r="229" spans="1:6" ht="20.25" thickTop="1" thickBot="1" x14ac:dyDescent="0.3">
      <c r="A229" s="6" t="s">
        <v>359</v>
      </c>
      <c r="B229" s="6"/>
      <c r="C229" s="6" t="s">
        <v>189</v>
      </c>
      <c r="D229" s="11">
        <v>16347</v>
      </c>
      <c r="E229" s="14"/>
      <c r="F229" s="13"/>
    </row>
    <row r="230" spans="1:6" ht="20.25" thickTop="1" thickBot="1" x14ac:dyDescent="0.3">
      <c r="A230" s="6" t="s">
        <v>360</v>
      </c>
      <c r="B230" s="6"/>
      <c r="C230" s="6" t="s">
        <v>189</v>
      </c>
      <c r="D230" s="11">
        <v>10600</v>
      </c>
      <c r="E230" s="14"/>
      <c r="F230" s="13"/>
    </row>
    <row r="231" spans="1:6" ht="18" customHeight="1" thickTop="1" thickBot="1" x14ac:dyDescent="0.3">
      <c r="A231" s="49" t="s">
        <v>50</v>
      </c>
      <c r="B231" s="50"/>
      <c r="C231" s="50"/>
      <c r="D231" s="50"/>
      <c r="E231" s="50"/>
      <c r="F231" s="55"/>
    </row>
    <row r="232" spans="1:6" ht="18" customHeight="1" thickTop="1" thickBot="1" x14ac:dyDescent="0.3">
      <c r="A232" s="51" t="s">
        <v>269</v>
      </c>
      <c r="B232" s="52"/>
      <c r="C232" s="52"/>
      <c r="D232" s="52"/>
      <c r="E232" s="52"/>
      <c r="F232" s="52"/>
    </row>
    <row r="233" spans="1:6" ht="18" customHeight="1" thickTop="1" thickBot="1" x14ac:dyDescent="0.3">
      <c r="A233" s="6" t="s">
        <v>79</v>
      </c>
      <c r="B233" s="6"/>
      <c r="C233" s="6" t="s">
        <v>189</v>
      </c>
      <c r="D233" s="11">
        <v>3650</v>
      </c>
      <c r="E233" s="14"/>
      <c r="F233" s="12">
        <f>D233*E233</f>
        <v>0</v>
      </c>
    </row>
    <row r="234" spans="1:6" ht="18" customHeight="1" thickTop="1" thickBot="1" x14ac:dyDescent="0.3">
      <c r="A234" s="6" t="s">
        <v>114</v>
      </c>
      <c r="B234" s="6"/>
      <c r="C234" s="6" t="s">
        <v>189</v>
      </c>
      <c r="D234" s="11">
        <v>1656</v>
      </c>
      <c r="E234" s="14"/>
      <c r="F234" s="12">
        <f>D234*E234</f>
        <v>0</v>
      </c>
    </row>
    <row r="235" spans="1:6" ht="18" customHeight="1" thickTop="1" thickBot="1" x14ac:dyDescent="0.3">
      <c r="A235" s="6" t="s">
        <v>115</v>
      </c>
      <c r="B235" s="6"/>
      <c r="C235" s="6" t="s">
        <v>189</v>
      </c>
      <c r="D235" s="11">
        <v>1910</v>
      </c>
      <c r="E235" s="14"/>
      <c r="F235" s="12">
        <f t="shared" ref="F235:F242" si="8">D235*E235</f>
        <v>0</v>
      </c>
    </row>
    <row r="236" spans="1:6" ht="18" customHeight="1" thickTop="1" thickBot="1" x14ac:dyDescent="0.3">
      <c r="A236" s="6" t="s">
        <v>116</v>
      </c>
      <c r="B236" s="6"/>
      <c r="C236" s="6" t="s">
        <v>189</v>
      </c>
      <c r="D236" s="11">
        <v>2250</v>
      </c>
      <c r="E236" s="14"/>
      <c r="F236" s="12">
        <f t="shared" si="8"/>
        <v>0</v>
      </c>
    </row>
    <row r="237" spans="1:6" ht="18" customHeight="1" thickTop="1" thickBot="1" x14ac:dyDescent="0.3">
      <c r="A237" s="6" t="s">
        <v>117</v>
      </c>
      <c r="B237" s="6"/>
      <c r="C237" s="6" t="s">
        <v>189</v>
      </c>
      <c r="D237" s="11">
        <v>2350</v>
      </c>
      <c r="E237" s="14"/>
      <c r="F237" s="12">
        <f t="shared" si="8"/>
        <v>0</v>
      </c>
    </row>
    <row r="238" spans="1:6" ht="18" customHeight="1" thickTop="1" thickBot="1" x14ac:dyDescent="0.3">
      <c r="A238" s="51" t="s">
        <v>363</v>
      </c>
      <c r="B238" s="52"/>
      <c r="C238" s="52"/>
      <c r="D238" s="52"/>
      <c r="E238" s="52"/>
      <c r="F238" s="52"/>
    </row>
    <row r="239" spans="1:6" ht="18" customHeight="1" thickTop="1" thickBot="1" x14ac:dyDescent="0.3">
      <c r="A239" s="6" t="s">
        <v>118</v>
      </c>
      <c r="B239" s="6"/>
      <c r="C239" s="6" t="s">
        <v>189</v>
      </c>
      <c r="D239" s="11"/>
      <c r="E239" s="14"/>
      <c r="F239" s="12">
        <f t="shared" si="8"/>
        <v>0</v>
      </c>
    </row>
    <row r="240" spans="1:6" ht="18" customHeight="1" thickTop="1" thickBot="1" x14ac:dyDescent="0.3">
      <c r="A240" s="6" t="s">
        <v>119</v>
      </c>
      <c r="B240" s="6"/>
      <c r="C240" s="6" t="s">
        <v>189</v>
      </c>
      <c r="D240" s="11"/>
      <c r="E240" s="14"/>
      <c r="F240" s="12">
        <f t="shared" si="8"/>
        <v>0</v>
      </c>
    </row>
    <row r="241" spans="1:6" ht="18" customHeight="1" thickTop="1" thickBot="1" x14ac:dyDescent="0.3">
      <c r="A241" s="6" t="s">
        <v>120</v>
      </c>
      <c r="B241" s="6"/>
      <c r="C241" s="6" t="s">
        <v>189</v>
      </c>
      <c r="D241" s="11"/>
      <c r="E241" s="14"/>
      <c r="F241" s="12">
        <f t="shared" si="8"/>
        <v>0</v>
      </c>
    </row>
    <row r="242" spans="1:6" ht="18" customHeight="1" thickTop="1" thickBot="1" x14ac:dyDescent="0.3">
      <c r="A242" s="6" t="s">
        <v>121</v>
      </c>
      <c r="B242" s="6"/>
      <c r="C242" s="6" t="s">
        <v>189</v>
      </c>
      <c r="D242" s="11"/>
      <c r="E242" s="14"/>
      <c r="F242" s="12">
        <f t="shared" si="8"/>
        <v>0</v>
      </c>
    </row>
    <row r="243" spans="1:6" ht="18" customHeight="1" thickTop="1" thickBot="1" x14ac:dyDescent="0.3">
      <c r="A243" s="63" t="s">
        <v>364</v>
      </c>
      <c r="B243" s="64"/>
      <c r="C243" s="64"/>
      <c r="D243" s="64"/>
      <c r="E243" s="64"/>
      <c r="F243" s="65"/>
    </row>
    <row r="244" spans="1:6" ht="18" customHeight="1" thickTop="1" thickBot="1" x14ac:dyDescent="0.3">
      <c r="A244" s="51" t="s">
        <v>303</v>
      </c>
      <c r="B244" s="52"/>
      <c r="C244" s="52"/>
      <c r="D244" s="52"/>
      <c r="E244" s="52"/>
      <c r="F244" s="52"/>
    </row>
    <row r="245" spans="1:6" ht="18" customHeight="1" thickTop="1" thickBot="1" x14ac:dyDescent="0.3">
      <c r="A245" s="6" t="s">
        <v>80</v>
      </c>
      <c r="B245" s="6"/>
      <c r="C245" s="6" t="s">
        <v>189</v>
      </c>
      <c r="D245" s="11">
        <v>3885</v>
      </c>
      <c r="E245" s="32"/>
      <c r="F245" s="12">
        <f>D245*E245</f>
        <v>0</v>
      </c>
    </row>
    <row r="246" spans="1:6" ht="18" customHeight="1" thickTop="1" thickBot="1" x14ac:dyDescent="0.3">
      <c r="A246" s="6" t="s">
        <v>81</v>
      </c>
      <c r="B246" s="6"/>
      <c r="C246" s="6" t="s">
        <v>189</v>
      </c>
      <c r="D246" s="11">
        <v>3885</v>
      </c>
      <c r="E246" s="32"/>
      <c r="F246" s="12">
        <f t="shared" ref="F246:F292" si="9">D246*E246</f>
        <v>0</v>
      </c>
    </row>
    <row r="247" spans="1:6" ht="18" customHeight="1" thickTop="1" thickBot="1" x14ac:dyDescent="0.3">
      <c r="A247" s="6" t="s">
        <v>82</v>
      </c>
      <c r="B247" s="6"/>
      <c r="C247" s="6" t="s">
        <v>189</v>
      </c>
      <c r="D247" s="11">
        <v>3885</v>
      </c>
      <c r="E247" s="32"/>
      <c r="F247" s="12">
        <f t="shared" si="9"/>
        <v>0</v>
      </c>
    </row>
    <row r="248" spans="1:6" ht="18" customHeight="1" thickTop="1" thickBot="1" x14ac:dyDescent="0.3">
      <c r="A248" s="6" t="s">
        <v>83</v>
      </c>
      <c r="B248" s="6"/>
      <c r="C248" s="6" t="s">
        <v>189</v>
      </c>
      <c r="D248" s="11">
        <v>3931</v>
      </c>
      <c r="E248" s="32"/>
      <c r="F248" s="12">
        <f t="shared" si="9"/>
        <v>0</v>
      </c>
    </row>
    <row r="249" spans="1:6" ht="18" customHeight="1" thickTop="1" thickBot="1" x14ac:dyDescent="0.3">
      <c r="A249" s="6" t="s">
        <v>84</v>
      </c>
      <c r="B249" s="6"/>
      <c r="C249" s="6" t="s">
        <v>189</v>
      </c>
      <c r="D249" s="11">
        <v>3979</v>
      </c>
      <c r="E249" s="32"/>
      <c r="F249" s="12">
        <f t="shared" si="9"/>
        <v>0</v>
      </c>
    </row>
    <row r="250" spans="1:6" ht="18" customHeight="1" thickTop="1" thickBot="1" x14ac:dyDescent="0.3">
      <c r="A250" s="6" t="s">
        <v>85</v>
      </c>
      <c r="B250" s="6"/>
      <c r="C250" s="6" t="s">
        <v>189</v>
      </c>
      <c r="D250" s="11">
        <v>4023</v>
      </c>
      <c r="E250" s="32"/>
      <c r="F250" s="12">
        <f t="shared" si="9"/>
        <v>0</v>
      </c>
    </row>
    <row r="251" spans="1:6" ht="18" customHeight="1" thickTop="1" thickBot="1" x14ac:dyDescent="0.3">
      <c r="A251" s="6" t="s">
        <v>86</v>
      </c>
      <c r="B251" s="6"/>
      <c r="C251" s="6" t="s">
        <v>189</v>
      </c>
      <c r="D251" s="11">
        <v>4196</v>
      </c>
      <c r="E251" s="32"/>
      <c r="F251" s="12">
        <f t="shared" si="9"/>
        <v>0</v>
      </c>
    </row>
    <row r="252" spans="1:6" ht="18" customHeight="1" thickTop="1" thickBot="1" x14ac:dyDescent="0.3">
      <c r="A252" s="51" t="s">
        <v>304</v>
      </c>
      <c r="B252" s="52"/>
      <c r="C252" s="52"/>
      <c r="D252" s="52"/>
      <c r="E252" s="52"/>
      <c r="F252" s="52"/>
    </row>
    <row r="253" spans="1:6" ht="18" customHeight="1" thickTop="1" thickBot="1" x14ac:dyDescent="0.3">
      <c r="A253" s="6" t="s">
        <v>88</v>
      </c>
      <c r="B253" s="6"/>
      <c r="C253" s="6" t="s">
        <v>189</v>
      </c>
      <c r="D253" s="11">
        <v>4183</v>
      </c>
      <c r="E253" s="32"/>
      <c r="F253" s="12">
        <f t="shared" si="9"/>
        <v>0</v>
      </c>
    </row>
    <row r="254" spans="1:6" ht="18" customHeight="1" thickTop="1" thickBot="1" x14ac:dyDescent="0.3">
      <c r="A254" s="6" t="s">
        <v>89</v>
      </c>
      <c r="B254" s="6"/>
      <c r="C254" s="6" t="s">
        <v>189</v>
      </c>
      <c r="D254" s="11">
        <v>4183</v>
      </c>
      <c r="E254" s="32"/>
      <c r="F254" s="12">
        <f t="shared" si="9"/>
        <v>0</v>
      </c>
    </row>
    <row r="255" spans="1:6" ht="18" customHeight="1" thickTop="1" thickBot="1" x14ac:dyDescent="0.3">
      <c r="A255" s="6" t="s">
        <v>90</v>
      </c>
      <c r="B255" s="6"/>
      <c r="C255" s="6" t="s">
        <v>189</v>
      </c>
      <c r="D255" s="11">
        <v>4183</v>
      </c>
      <c r="E255" s="32"/>
      <c r="F255" s="12">
        <f t="shared" si="9"/>
        <v>0</v>
      </c>
    </row>
    <row r="256" spans="1:6" ht="18" customHeight="1" thickTop="1" thickBot="1" x14ac:dyDescent="0.3">
      <c r="A256" s="6" t="s">
        <v>91</v>
      </c>
      <c r="B256" s="6"/>
      <c r="C256" s="6" t="s">
        <v>189</v>
      </c>
      <c r="D256" s="11">
        <v>4232</v>
      </c>
      <c r="E256" s="32"/>
      <c r="F256" s="12">
        <f t="shared" si="9"/>
        <v>0</v>
      </c>
    </row>
    <row r="257" spans="1:6" ht="18" customHeight="1" thickTop="1" thickBot="1" x14ac:dyDescent="0.3">
      <c r="A257" s="6" t="s">
        <v>92</v>
      </c>
      <c r="B257" s="6"/>
      <c r="C257" s="6" t="s">
        <v>189</v>
      </c>
      <c r="D257" s="11">
        <v>4279</v>
      </c>
      <c r="E257" s="32"/>
      <c r="F257" s="12">
        <f t="shared" si="9"/>
        <v>0</v>
      </c>
    </row>
    <row r="258" spans="1:6" ht="18" customHeight="1" thickTop="1" thickBot="1" x14ac:dyDescent="0.3">
      <c r="A258" s="6" t="s">
        <v>93</v>
      </c>
      <c r="B258" s="6"/>
      <c r="C258" s="6" t="s">
        <v>189</v>
      </c>
      <c r="D258" s="11">
        <v>4325</v>
      </c>
      <c r="E258" s="32"/>
      <c r="F258" s="12">
        <f t="shared" si="9"/>
        <v>0</v>
      </c>
    </row>
    <row r="259" spans="1:6" ht="18" customHeight="1" thickTop="1" thickBot="1" x14ac:dyDescent="0.3">
      <c r="A259" s="6" t="s">
        <v>87</v>
      </c>
      <c r="B259" s="6"/>
      <c r="C259" s="6" t="s">
        <v>189</v>
      </c>
      <c r="D259" s="11">
        <v>4496</v>
      </c>
      <c r="E259" s="32"/>
      <c r="F259" s="12">
        <f t="shared" si="9"/>
        <v>0</v>
      </c>
    </row>
    <row r="260" spans="1:6" ht="18" customHeight="1" thickTop="1" thickBot="1" x14ac:dyDescent="0.3">
      <c r="A260" s="6" t="s">
        <v>365</v>
      </c>
      <c r="B260" s="6"/>
      <c r="C260" s="6" t="s">
        <v>189</v>
      </c>
      <c r="D260" s="11">
        <v>478</v>
      </c>
      <c r="E260" s="32"/>
      <c r="F260" s="12">
        <f t="shared" si="9"/>
        <v>0</v>
      </c>
    </row>
    <row r="261" spans="1:6" ht="18" customHeight="1" thickTop="1" thickBot="1" x14ac:dyDescent="0.3">
      <c r="A261" s="51" t="s">
        <v>305</v>
      </c>
      <c r="B261" s="52"/>
      <c r="C261" s="52"/>
      <c r="D261" s="52"/>
      <c r="E261" s="52"/>
      <c r="F261" s="52"/>
    </row>
    <row r="262" spans="1:6" ht="18" customHeight="1" thickTop="1" thickBot="1" x14ac:dyDescent="0.3">
      <c r="A262" s="6" t="s">
        <v>94</v>
      </c>
      <c r="B262" s="6"/>
      <c r="C262" s="6" t="s">
        <v>189</v>
      </c>
      <c r="D262" s="11">
        <v>4738</v>
      </c>
      <c r="E262" s="32"/>
      <c r="F262" s="12">
        <f t="shared" si="9"/>
        <v>0</v>
      </c>
    </row>
    <row r="263" spans="1:6" ht="18" customHeight="1" thickTop="1" thickBot="1" x14ac:dyDescent="0.3">
      <c r="A263" s="6" t="s">
        <v>95</v>
      </c>
      <c r="B263" s="6"/>
      <c r="C263" s="6" t="s">
        <v>189</v>
      </c>
      <c r="D263" s="11">
        <v>4738</v>
      </c>
      <c r="E263" s="32"/>
      <c r="F263" s="12">
        <f t="shared" si="9"/>
        <v>0</v>
      </c>
    </row>
    <row r="264" spans="1:6" ht="18" customHeight="1" thickTop="1" thickBot="1" x14ac:dyDescent="0.3">
      <c r="A264" s="6" t="s">
        <v>96</v>
      </c>
      <c r="B264" s="6"/>
      <c r="C264" s="6" t="s">
        <v>189</v>
      </c>
      <c r="D264" s="11">
        <v>4738</v>
      </c>
      <c r="E264" s="32"/>
      <c r="F264" s="12">
        <f t="shared" si="9"/>
        <v>0</v>
      </c>
    </row>
    <row r="265" spans="1:6" ht="18" customHeight="1" thickTop="1" thickBot="1" x14ac:dyDescent="0.3">
      <c r="A265" s="6" t="s">
        <v>97</v>
      </c>
      <c r="B265" s="6"/>
      <c r="C265" s="6" t="s">
        <v>189</v>
      </c>
      <c r="D265" s="11">
        <v>4786</v>
      </c>
      <c r="E265" s="32"/>
      <c r="F265" s="12">
        <f t="shared" si="9"/>
        <v>0</v>
      </c>
    </row>
    <row r="266" spans="1:6" ht="18" customHeight="1" thickTop="1" thickBot="1" x14ac:dyDescent="0.3">
      <c r="A266" s="6" t="s">
        <v>98</v>
      </c>
      <c r="B266" s="6"/>
      <c r="C266" s="6" t="s">
        <v>189</v>
      </c>
      <c r="D266" s="11">
        <v>4834</v>
      </c>
      <c r="E266" s="32"/>
      <c r="F266" s="12">
        <f t="shared" si="9"/>
        <v>0</v>
      </c>
    </row>
    <row r="267" spans="1:6" ht="18" customHeight="1" thickTop="1" thickBot="1" x14ac:dyDescent="0.3">
      <c r="A267" s="6" t="s">
        <v>99</v>
      </c>
      <c r="B267" s="6"/>
      <c r="C267" s="6" t="s">
        <v>189</v>
      </c>
      <c r="D267" s="11">
        <v>4883</v>
      </c>
      <c r="E267" s="32"/>
      <c r="F267" s="12">
        <f t="shared" si="9"/>
        <v>0</v>
      </c>
    </row>
    <row r="268" spans="1:6" ht="18.600000000000001" customHeight="1" thickTop="1" thickBot="1" x14ac:dyDescent="0.3">
      <c r="A268" s="6" t="s">
        <v>100</v>
      </c>
      <c r="B268" s="6"/>
      <c r="C268" s="6" t="s">
        <v>189</v>
      </c>
      <c r="D268" s="11">
        <v>5138</v>
      </c>
      <c r="E268" s="32"/>
      <c r="F268" s="12">
        <f t="shared" si="9"/>
        <v>0</v>
      </c>
    </row>
    <row r="269" spans="1:6" ht="18.600000000000001" customHeight="1" thickTop="1" thickBot="1" x14ac:dyDescent="0.3">
      <c r="A269" s="6" t="s">
        <v>101</v>
      </c>
      <c r="B269" s="6"/>
      <c r="C269" s="6" t="s">
        <v>189</v>
      </c>
      <c r="D269" s="11">
        <v>5471</v>
      </c>
      <c r="E269" s="32"/>
      <c r="F269" s="12">
        <f t="shared" si="9"/>
        <v>0</v>
      </c>
    </row>
    <row r="270" spans="1:6" ht="18.600000000000001" customHeight="1" thickTop="1" thickBot="1" x14ac:dyDescent="0.3">
      <c r="A270" s="51" t="s">
        <v>306</v>
      </c>
      <c r="B270" s="52"/>
      <c r="C270" s="52"/>
      <c r="D270" s="52"/>
      <c r="E270" s="52"/>
      <c r="F270" s="52"/>
    </row>
    <row r="271" spans="1:6" ht="25.5" customHeight="1" thickTop="1" thickBot="1" x14ac:dyDescent="0.3">
      <c r="A271" s="6" t="s">
        <v>366</v>
      </c>
      <c r="B271" s="6"/>
      <c r="C271" s="6" t="s">
        <v>189</v>
      </c>
      <c r="D271" s="11">
        <v>8000</v>
      </c>
      <c r="E271" s="32"/>
      <c r="F271" s="12">
        <f t="shared" si="9"/>
        <v>0</v>
      </c>
    </row>
    <row r="272" spans="1:6" ht="33" customHeight="1" thickTop="1" thickBot="1" x14ac:dyDescent="0.3">
      <c r="A272" s="6" t="s">
        <v>102</v>
      </c>
      <c r="B272" s="6"/>
      <c r="C272" s="6" t="s">
        <v>189</v>
      </c>
      <c r="D272" s="11">
        <v>8000</v>
      </c>
      <c r="E272" s="32"/>
      <c r="F272" s="12">
        <f t="shared" si="9"/>
        <v>0</v>
      </c>
    </row>
    <row r="273" spans="1:6" ht="27.75" customHeight="1" thickTop="1" thickBot="1" x14ac:dyDescent="0.3">
      <c r="A273" s="6" t="s">
        <v>103</v>
      </c>
      <c r="B273" s="6"/>
      <c r="C273" s="6" t="s">
        <v>189</v>
      </c>
      <c r="D273" s="11">
        <v>8000</v>
      </c>
      <c r="E273" s="32"/>
      <c r="F273" s="12">
        <f t="shared" si="9"/>
        <v>0</v>
      </c>
    </row>
    <row r="274" spans="1:6" ht="23.25" customHeight="1" thickTop="1" thickBot="1" x14ac:dyDescent="0.3">
      <c r="A274" s="6" t="s">
        <v>104</v>
      </c>
      <c r="B274" s="6"/>
      <c r="C274" s="6" t="s">
        <v>189</v>
      </c>
      <c r="D274" s="11">
        <v>8000</v>
      </c>
      <c r="E274" s="32"/>
      <c r="F274" s="12">
        <f t="shared" si="9"/>
        <v>0</v>
      </c>
    </row>
    <row r="275" spans="1:6" ht="27" customHeight="1" thickTop="1" thickBot="1" x14ac:dyDescent="0.3">
      <c r="A275" s="6" t="s">
        <v>105</v>
      </c>
      <c r="B275" s="6"/>
      <c r="C275" s="6" t="s">
        <v>189</v>
      </c>
      <c r="D275" s="11">
        <v>8000</v>
      </c>
      <c r="E275" s="32"/>
      <c r="F275" s="12">
        <f t="shared" si="9"/>
        <v>0</v>
      </c>
    </row>
    <row r="276" spans="1:6" ht="23.25" customHeight="1" thickTop="1" thickBot="1" x14ac:dyDescent="0.3">
      <c r="A276" s="6" t="s">
        <v>106</v>
      </c>
      <c r="B276" s="6"/>
      <c r="C276" s="6" t="s">
        <v>189</v>
      </c>
      <c r="D276" s="11">
        <v>8000</v>
      </c>
      <c r="E276" s="32"/>
      <c r="F276" s="12">
        <f t="shared" si="9"/>
        <v>0</v>
      </c>
    </row>
    <row r="277" spans="1:6" ht="22.5" customHeight="1" thickTop="1" thickBot="1" x14ac:dyDescent="0.3">
      <c r="A277" s="6" t="s">
        <v>107</v>
      </c>
      <c r="B277" s="6"/>
      <c r="C277" s="6" t="s">
        <v>189</v>
      </c>
      <c r="D277" s="11">
        <v>8200</v>
      </c>
      <c r="E277" s="32"/>
      <c r="F277" s="12">
        <f t="shared" si="9"/>
        <v>0</v>
      </c>
    </row>
    <row r="278" spans="1:6" ht="22.5" thickTop="1" thickBot="1" x14ac:dyDescent="0.3">
      <c r="A278" s="63" t="s">
        <v>51</v>
      </c>
      <c r="B278" s="64"/>
      <c r="C278" s="64"/>
      <c r="D278" s="64"/>
      <c r="E278" s="64"/>
      <c r="F278" s="65"/>
    </row>
    <row r="279" spans="1:6" ht="22.5" thickTop="1" thickBot="1" x14ac:dyDescent="0.3">
      <c r="A279" s="51" t="s">
        <v>369</v>
      </c>
      <c r="B279" s="52"/>
      <c r="C279" s="52"/>
      <c r="D279" s="52"/>
      <c r="E279" s="52"/>
      <c r="F279" s="52"/>
    </row>
    <row r="280" spans="1:6" ht="39" thickTop="1" thickBot="1" x14ac:dyDescent="0.3">
      <c r="A280" s="6" t="s">
        <v>368</v>
      </c>
      <c r="B280" s="6"/>
      <c r="C280" s="6" t="s">
        <v>189</v>
      </c>
      <c r="D280" s="11">
        <v>550</v>
      </c>
      <c r="E280" s="32"/>
      <c r="F280" s="12">
        <f>D280*E280</f>
        <v>0</v>
      </c>
    </row>
    <row r="281" spans="1:6" ht="20.25" thickTop="1" thickBot="1" x14ac:dyDescent="0.3">
      <c r="A281" s="6" t="s">
        <v>149</v>
      </c>
      <c r="B281" s="6"/>
      <c r="C281" s="6" t="s">
        <v>189</v>
      </c>
      <c r="D281" s="11">
        <v>825</v>
      </c>
      <c r="E281" s="32"/>
      <c r="F281" s="12">
        <f t="shared" si="9"/>
        <v>0</v>
      </c>
    </row>
    <row r="282" spans="1:6" ht="20.25" thickTop="1" thickBot="1" x14ac:dyDescent="0.3">
      <c r="A282" s="6" t="s">
        <v>151</v>
      </c>
      <c r="B282" s="6"/>
      <c r="C282" s="6" t="s">
        <v>189</v>
      </c>
      <c r="D282" s="11">
        <v>880</v>
      </c>
      <c r="E282" s="32"/>
      <c r="F282" s="12">
        <f t="shared" si="9"/>
        <v>0</v>
      </c>
    </row>
    <row r="283" spans="1:6" ht="20.25" thickTop="1" thickBot="1" x14ac:dyDescent="0.3">
      <c r="A283" s="6" t="s">
        <v>150</v>
      </c>
      <c r="B283" s="6"/>
      <c r="C283" s="6" t="s">
        <v>189</v>
      </c>
      <c r="D283" s="11">
        <v>931</v>
      </c>
      <c r="E283" s="32"/>
      <c r="F283" s="12">
        <f t="shared" si="9"/>
        <v>0</v>
      </c>
    </row>
    <row r="284" spans="1:6" ht="20.25" thickTop="1" thickBot="1" x14ac:dyDescent="0.3">
      <c r="A284" s="6" t="s">
        <v>152</v>
      </c>
      <c r="B284" s="6"/>
      <c r="C284" s="6" t="s">
        <v>189</v>
      </c>
      <c r="D284" s="11">
        <v>980</v>
      </c>
      <c r="E284" s="32">
        <v>0</v>
      </c>
      <c r="F284" s="12">
        <f t="shared" si="9"/>
        <v>0</v>
      </c>
    </row>
    <row r="285" spans="1:6" ht="20.25" thickTop="1" thickBot="1" x14ac:dyDescent="0.3">
      <c r="A285" s="6" t="s">
        <v>153</v>
      </c>
      <c r="B285" s="6"/>
      <c r="C285" s="6" t="s">
        <v>189</v>
      </c>
      <c r="D285" s="11">
        <v>1045</v>
      </c>
      <c r="E285" s="32">
        <v>0</v>
      </c>
      <c r="F285" s="12">
        <f t="shared" si="9"/>
        <v>0</v>
      </c>
    </row>
    <row r="286" spans="1:6" ht="39" thickTop="1" thickBot="1" x14ac:dyDescent="0.3">
      <c r="A286" s="6" t="s">
        <v>367</v>
      </c>
      <c r="B286" s="6"/>
      <c r="C286" s="6" t="s">
        <v>189</v>
      </c>
      <c r="D286" s="11">
        <v>900</v>
      </c>
      <c r="E286" s="32"/>
      <c r="F286" s="12">
        <f t="shared" si="9"/>
        <v>0</v>
      </c>
    </row>
    <row r="287" spans="1:6" ht="22.5" thickTop="1" thickBot="1" x14ac:dyDescent="0.3">
      <c r="A287" s="51" t="s">
        <v>370</v>
      </c>
      <c r="B287" s="52"/>
      <c r="C287" s="52"/>
      <c r="D287" s="52"/>
      <c r="E287" s="52"/>
      <c r="F287" s="52"/>
    </row>
    <row r="288" spans="1:6" ht="20.25" thickTop="1" thickBot="1" x14ac:dyDescent="0.3">
      <c r="A288" s="6" t="s">
        <v>122</v>
      </c>
      <c r="B288" s="6"/>
      <c r="C288" s="6" t="s">
        <v>189</v>
      </c>
      <c r="D288" s="11">
        <v>849</v>
      </c>
      <c r="E288" s="32"/>
      <c r="F288" s="12">
        <f t="shared" si="9"/>
        <v>0</v>
      </c>
    </row>
    <row r="289" spans="1:6" ht="20.25" thickTop="1" thickBot="1" x14ac:dyDescent="0.3">
      <c r="A289" s="6" t="s">
        <v>123</v>
      </c>
      <c r="B289" s="6"/>
      <c r="C289" s="6" t="s">
        <v>189</v>
      </c>
      <c r="D289" s="11">
        <v>928</v>
      </c>
      <c r="E289" s="32"/>
      <c r="F289" s="12">
        <f t="shared" si="9"/>
        <v>0</v>
      </c>
    </row>
    <row r="290" spans="1:6" ht="20.25" thickTop="1" thickBot="1" x14ac:dyDescent="0.3">
      <c r="A290" s="6" t="s">
        <v>124</v>
      </c>
      <c r="B290" s="6"/>
      <c r="C290" s="6" t="s">
        <v>189</v>
      </c>
      <c r="D290" s="11">
        <v>990</v>
      </c>
      <c r="E290" s="32"/>
      <c r="F290" s="12">
        <f t="shared" si="9"/>
        <v>0</v>
      </c>
    </row>
    <row r="291" spans="1:6" ht="20.25" thickTop="1" thickBot="1" x14ac:dyDescent="0.3">
      <c r="A291" s="6" t="s">
        <v>125</v>
      </c>
      <c r="B291" s="6"/>
      <c r="C291" s="6" t="s">
        <v>189</v>
      </c>
      <c r="D291" s="11">
        <v>1050</v>
      </c>
      <c r="E291" s="32"/>
      <c r="F291" s="12">
        <f t="shared" si="9"/>
        <v>0</v>
      </c>
    </row>
    <row r="292" spans="1:6" ht="20.25" thickTop="1" thickBot="1" x14ac:dyDescent="0.3">
      <c r="A292" s="6" t="s">
        <v>126</v>
      </c>
      <c r="B292" s="6"/>
      <c r="C292" s="6" t="s">
        <v>189</v>
      </c>
      <c r="D292" s="11">
        <v>1135</v>
      </c>
      <c r="E292" s="32"/>
      <c r="F292" s="12">
        <f t="shared" si="9"/>
        <v>0</v>
      </c>
    </row>
    <row r="293" spans="1:6" ht="22.5" thickTop="1" thickBot="1" x14ac:dyDescent="0.3">
      <c r="A293" s="63" t="s">
        <v>371</v>
      </c>
      <c r="B293" s="64"/>
      <c r="C293" s="64"/>
      <c r="D293" s="64"/>
      <c r="E293" s="64"/>
      <c r="F293" s="65"/>
    </row>
    <row r="294" spans="1:6" ht="39" thickTop="1" thickBot="1" x14ac:dyDescent="0.3">
      <c r="A294" s="6" t="s">
        <v>154</v>
      </c>
      <c r="B294" s="6"/>
      <c r="C294" s="6" t="s">
        <v>189</v>
      </c>
      <c r="D294" s="11">
        <v>9526</v>
      </c>
      <c r="E294" s="28"/>
      <c r="F294" s="12">
        <f t="shared" ref="F294:F302" si="10">D294*E294</f>
        <v>0</v>
      </c>
    </row>
    <row r="295" spans="1:6" ht="39" thickTop="1" thickBot="1" x14ac:dyDescent="0.3">
      <c r="A295" s="6" t="s">
        <v>155</v>
      </c>
      <c r="B295" s="6"/>
      <c r="C295" s="6" t="s">
        <v>189</v>
      </c>
      <c r="D295" s="11">
        <v>10557</v>
      </c>
      <c r="E295" s="28"/>
      <c r="F295" s="12">
        <f t="shared" si="10"/>
        <v>0</v>
      </c>
    </row>
    <row r="296" spans="1:6" ht="20.25" thickTop="1" thickBot="1" x14ac:dyDescent="0.3">
      <c r="A296" s="3" t="s">
        <v>372</v>
      </c>
      <c r="B296" s="3"/>
      <c r="C296" s="6" t="s">
        <v>189</v>
      </c>
      <c r="D296" s="11">
        <v>6450</v>
      </c>
      <c r="E296" s="28"/>
      <c r="F296" s="12">
        <f t="shared" si="10"/>
        <v>0</v>
      </c>
    </row>
    <row r="297" spans="1:6" ht="39" thickTop="1" thickBot="1" x14ac:dyDescent="0.3">
      <c r="A297" s="6" t="s">
        <v>373</v>
      </c>
      <c r="B297" s="6"/>
      <c r="C297" s="6" t="s">
        <v>189</v>
      </c>
      <c r="D297" s="11">
        <v>7370</v>
      </c>
      <c r="E297" s="28"/>
      <c r="F297" s="12">
        <f t="shared" si="10"/>
        <v>0</v>
      </c>
    </row>
    <row r="298" spans="1:6" ht="20.25" thickTop="1" thickBot="1" x14ac:dyDescent="0.3">
      <c r="A298" s="3" t="s">
        <v>374</v>
      </c>
      <c r="B298" s="6"/>
      <c r="C298" s="6" t="s">
        <v>189</v>
      </c>
      <c r="D298" s="11">
        <v>3000</v>
      </c>
      <c r="E298" s="28"/>
      <c r="F298" s="12">
        <f t="shared" si="10"/>
        <v>0</v>
      </c>
    </row>
    <row r="299" spans="1:6" ht="20.25" thickTop="1" thickBot="1" x14ac:dyDescent="0.3">
      <c r="A299" s="3" t="s">
        <v>375</v>
      </c>
      <c r="B299" s="6"/>
      <c r="C299" s="6" t="s">
        <v>189</v>
      </c>
      <c r="D299" s="11">
        <v>3550</v>
      </c>
      <c r="E299" s="28"/>
      <c r="F299" s="12"/>
    </row>
    <row r="300" spans="1:6" ht="20.25" thickTop="1" thickBot="1" x14ac:dyDescent="0.3">
      <c r="A300" s="6" t="s">
        <v>156</v>
      </c>
      <c r="B300" s="6"/>
      <c r="C300" s="6" t="s">
        <v>260</v>
      </c>
      <c r="D300" s="11">
        <v>4929</v>
      </c>
      <c r="E300" s="28"/>
      <c r="F300" s="12">
        <f t="shared" si="10"/>
        <v>0</v>
      </c>
    </row>
    <row r="301" spans="1:6" ht="20.25" thickTop="1" thickBot="1" x14ac:dyDescent="0.3">
      <c r="A301" s="6" t="s">
        <v>157</v>
      </c>
      <c r="B301" s="6"/>
      <c r="C301" s="6" t="s">
        <v>260</v>
      </c>
      <c r="D301" s="11">
        <v>5380</v>
      </c>
      <c r="E301" s="28"/>
      <c r="F301" s="12">
        <f t="shared" si="10"/>
        <v>0</v>
      </c>
    </row>
    <row r="302" spans="1:6" ht="20.25" thickTop="1" thickBot="1" x14ac:dyDescent="0.3">
      <c r="A302" s="6" t="s">
        <v>158</v>
      </c>
      <c r="B302" s="6"/>
      <c r="C302" s="6" t="s">
        <v>260</v>
      </c>
      <c r="D302" s="11">
        <v>7208</v>
      </c>
      <c r="E302" s="28"/>
      <c r="F302" s="12">
        <f t="shared" si="10"/>
        <v>0</v>
      </c>
    </row>
    <row r="303" spans="1:6" ht="22.5" thickTop="1" thickBot="1" x14ac:dyDescent="0.3">
      <c r="A303" s="58" t="s">
        <v>52</v>
      </c>
      <c r="B303" s="59"/>
      <c r="C303" s="59"/>
      <c r="D303" s="59"/>
      <c r="E303" s="59"/>
      <c r="F303" s="60"/>
    </row>
    <row r="304" spans="1:6" ht="20.25" thickTop="1" thickBot="1" x14ac:dyDescent="0.3">
      <c r="A304" s="6" t="s">
        <v>175</v>
      </c>
      <c r="B304" s="6"/>
      <c r="C304" s="6" t="s">
        <v>189</v>
      </c>
      <c r="D304" s="11">
        <v>1835</v>
      </c>
      <c r="E304" s="14"/>
      <c r="F304" s="12">
        <f t="shared" ref="F304:F312" si="11">D304*E304</f>
        <v>0</v>
      </c>
    </row>
    <row r="305" spans="1:6" ht="20.25" thickTop="1" thickBot="1" x14ac:dyDescent="0.3">
      <c r="A305" s="6" t="s">
        <v>173</v>
      </c>
      <c r="B305" s="6"/>
      <c r="C305" s="6" t="s">
        <v>189</v>
      </c>
      <c r="D305" s="11">
        <v>1860</v>
      </c>
      <c r="E305" s="14">
        <v>0</v>
      </c>
      <c r="F305" s="12">
        <f t="shared" si="11"/>
        <v>0</v>
      </c>
    </row>
    <row r="306" spans="1:6" ht="20.25" thickTop="1" thickBot="1" x14ac:dyDescent="0.3">
      <c r="A306" s="6" t="s">
        <v>174</v>
      </c>
      <c r="B306" s="6"/>
      <c r="C306" s="6" t="s">
        <v>189</v>
      </c>
      <c r="D306" s="11">
        <v>3550</v>
      </c>
      <c r="E306" s="14"/>
      <c r="F306" s="12">
        <f t="shared" si="11"/>
        <v>0</v>
      </c>
    </row>
    <row r="307" spans="1:6" ht="20.25" thickTop="1" thickBot="1" x14ac:dyDescent="0.3">
      <c r="A307" s="6" t="s">
        <v>172</v>
      </c>
      <c r="B307" s="6"/>
      <c r="C307" s="6" t="s">
        <v>189</v>
      </c>
      <c r="D307" s="11">
        <v>769</v>
      </c>
      <c r="E307" s="14"/>
      <c r="F307" s="12">
        <f t="shared" si="11"/>
        <v>0</v>
      </c>
    </row>
    <row r="308" spans="1:6" ht="20.25" thickTop="1" thickBot="1" x14ac:dyDescent="0.3">
      <c r="A308" s="6" t="s">
        <v>171</v>
      </c>
      <c r="B308" s="6"/>
      <c r="C308" s="6" t="s">
        <v>189</v>
      </c>
      <c r="D308" s="11">
        <v>1500</v>
      </c>
      <c r="E308" s="14">
        <v>0</v>
      </c>
      <c r="F308" s="12">
        <f>D308*E308</f>
        <v>0</v>
      </c>
    </row>
    <row r="309" spans="1:6" ht="39" thickTop="1" thickBot="1" x14ac:dyDescent="0.3">
      <c r="A309" s="6" t="s">
        <v>376</v>
      </c>
      <c r="B309" s="6"/>
      <c r="C309" s="6" t="s">
        <v>189</v>
      </c>
      <c r="D309" s="11"/>
      <c r="E309" s="14"/>
      <c r="F309" s="12"/>
    </row>
    <row r="310" spans="1:6" ht="39" thickTop="1" thickBot="1" x14ac:dyDescent="0.3">
      <c r="A310" s="6" t="s">
        <v>377</v>
      </c>
      <c r="B310" s="6"/>
      <c r="C310" s="6" t="s">
        <v>189</v>
      </c>
      <c r="D310" s="11"/>
      <c r="E310" s="14"/>
      <c r="F310" s="12"/>
    </row>
    <row r="311" spans="1:6" ht="39" thickTop="1" thickBot="1" x14ac:dyDescent="0.3">
      <c r="A311" s="6" t="s">
        <v>378</v>
      </c>
      <c r="B311" s="6"/>
      <c r="C311" s="6" t="s">
        <v>189</v>
      </c>
      <c r="D311" s="11"/>
      <c r="E311" s="14"/>
      <c r="F311" s="12"/>
    </row>
    <row r="312" spans="1:6" ht="39" thickTop="1" thickBot="1" x14ac:dyDescent="0.3">
      <c r="A312" s="6" t="s">
        <v>379</v>
      </c>
      <c r="B312" s="6"/>
      <c r="C312" s="6" t="s">
        <v>189</v>
      </c>
      <c r="D312" s="11">
        <v>1318</v>
      </c>
      <c r="E312" s="14"/>
      <c r="F312" s="12">
        <f t="shared" si="11"/>
        <v>0</v>
      </c>
    </row>
    <row r="313" spans="1:6" ht="22.5" thickTop="1" thickBot="1" x14ac:dyDescent="0.3">
      <c r="A313" s="58" t="s">
        <v>309</v>
      </c>
      <c r="B313" s="59"/>
      <c r="C313" s="59"/>
      <c r="D313" s="59"/>
      <c r="E313" s="59"/>
      <c r="F313" s="60"/>
    </row>
    <row r="314" spans="1:6" ht="20.25" thickTop="1" thickBot="1" x14ac:dyDescent="0.3">
      <c r="A314" s="6" t="s">
        <v>159</v>
      </c>
      <c r="B314" s="6"/>
      <c r="C314" s="6"/>
      <c r="D314" s="11">
        <v>4250</v>
      </c>
      <c r="E314" s="28"/>
      <c r="F314" s="12">
        <f>D314*E314</f>
        <v>0</v>
      </c>
    </row>
    <row r="315" spans="1:6" ht="20.25" thickTop="1" thickBot="1" x14ac:dyDescent="0.3">
      <c r="A315" s="6" t="s">
        <v>160</v>
      </c>
      <c r="B315" s="6"/>
      <c r="C315" s="6"/>
      <c r="D315" s="11">
        <v>2000</v>
      </c>
      <c r="E315" s="28"/>
      <c r="F315" s="12">
        <f>D315*E315</f>
        <v>0</v>
      </c>
    </row>
    <row r="316" spans="1:6" ht="39" thickTop="1" thickBot="1" x14ac:dyDescent="0.3">
      <c r="A316" s="6" t="s">
        <v>170</v>
      </c>
      <c r="B316" s="6"/>
      <c r="C316" s="6"/>
      <c r="D316" s="11"/>
      <c r="E316" s="28"/>
      <c r="F316" s="12">
        <f>D316*E316</f>
        <v>0</v>
      </c>
    </row>
    <row r="317" spans="1:6" ht="20.25" thickTop="1" thickBot="1" x14ac:dyDescent="0.3">
      <c r="A317" s="6" t="s">
        <v>161</v>
      </c>
      <c r="B317" s="6"/>
      <c r="C317" s="6"/>
      <c r="D317" s="11">
        <v>2230</v>
      </c>
      <c r="E317" s="28"/>
      <c r="F317" s="12">
        <f>D317*E317</f>
        <v>0</v>
      </c>
    </row>
    <row r="318" spans="1:6" ht="22.5" thickTop="1" thickBot="1" x14ac:dyDescent="0.3">
      <c r="A318" s="63" t="s">
        <v>38</v>
      </c>
      <c r="B318" s="64"/>
      <c r="C318" s="64"/>
      <c r="D318" s="64"/>
      <c r="E318" s="64"/>
      <c r="F318" s="65"/>
    </row>
    <row r="319" spans="1:6" ht="39" thickTop="1" thickBot="1" x14ac:dyDescent="0.3">
      <c r="A319" s="6" t="s">
        <v>146</v>
      </c>
      <c r="B319" s="6"/>
      <c r="C319" s="6"/>
      <c r="D319" s="11">
        <v>13930</v>
      </c>
      <c r="E319" s="28"/>
      <c r="F319" s="12">
        <f>D319*E319</f>
        <v>0</v>
      </c>
    </row>
    <row r="320" spans="1:6" ht="39" thickTop="1" thickBot="1" x14ac:dyDescent="0.3">
      <c r="A320" s="6" t="s">
        <v>147</v>
      </c>
      <c r="B320" s="6"/>
      <c r="C320" s="6"/>
      <c r="D320" s="11">
        <v>6441</v>
      </c>
      <c r="E320" s="28"/>
      <c r="F320" s="12">
        <f>D320*E320</f>
        <v>0</v>
      </c>
    </row>
    <row r="321" spans="1:6" ht="39" thickTop="1" thickBot="1" x14ac:dyDescent="0.3">
      <c r="A321" s="6" t="s">
        <v>148</v>
      </c>
      <c r="B321" s="6"/>
      <c r="C321" s="6"/>
      <c r="D321" s="11">
        <v>9548</v>
      </c>
      <c r="E321" s="28"/>
      <c r="F321" s="12">
        <f>D321*E321</f>
        <v>0</v>
      </c>
    </row>
    <row r="322" spans="1:6" ht="22.5" thickTop="1" thickBot="1" x14ac:dyDescent="0.3">
      <c r="A322" s="58" t="s">
        <v>53</v>
      </c>
      <c r="B322" s="59"/>
      <c r="C322" s="59"/>
      <c r="D322" s="59"/>
      <c r="E322" s="59"/>
      <c r="F322" s="59"/>
    </row>
    <row r="323" spans="1:6" ht="20.25" thickTop="1" thickBot="1" x14ac:dyDescent="0.3">
      <c r="A323" s="6" t="s">
        <v>176</v>
      </c>
      <c r="B323" s="6"/>
      <c r="C323" s="6"/>
      <c r="D323" s="11">
        <v>1651</v>
      </c>
      <c r="E323" s="14">
        <v>0</v>
      </c>
      <c r="F323" s="12">
        <f>D323*E323</f>
        <v>0</v>
      </c>
    </row>
    <row r="324" spans="1:6" ht="20.25" thickTop="1" thickBot="1" x14ac:dyDescent="0.3">
      <c r="A324" s="6" t="s">
        <v>177</v>
      </c>
      <c r="B324" s="6"/>
      <c r="C324" s="6"/>
      <c r="D324" s="11">
        <v>1820</v>
      </c>
      <c r="E324" s="14">
        <v>0</v>
      </c>
      <c r="F324" s="12">
        <f>D324*E324</f>
        <v>0</v>
      </c>
    </row>
    <row r="325" spans="1:6" ht="20.25" thickTop="1" thickBot="1" x14ac:dyDescent="0.3">
      <c r="A325" s="6" t="s">
        <v>178</v>
      </c>
      <c r="B325" s="6"/>
      <c r="C325" s="6"/>
      <c r="D325" s="11">
        <v>1171</v>
      </c>
      <c r="E325" s="14">
        <v>0</v>
      </c>
      <c r="F325" s="12">
        <f>D325*E325</f>
        <v>0</v>
      </c>
    </row>
    <row r="326" spans="1:6" ht="20.25" thickTop="1" thickBot="1" x14ac:dyDescent="0.3">
      <c r="A326" s="6" t="s">
        <v>179</v>
      </c>
      <c r="B326" s="6"/>
      <c r="C326" s="6"/>
      <c r="D326" s="11">
        <v>1555</v>
      </c>
      <c r="E326" s="14">
        <v>0</v>
      </c>
      <c r="F326" s="12">
        <f>D326*E326</f>
        <v>0</v>
      </c>
    </row>
    <row r="327" spans="1:6" ht="22.5" thickTop="1" thickBot="1" x14ac:dyDescent="0.3">
      <c r="A327" s="58" t="s">
        <v>320</v>
      </c>
      <c r="B327" s="59"/>
      <c r="C327" s="59"/>
      <c r="D327" s="59"/>
      <c r="E327" s="59"/>
      <c r="F327" s="60"/>
    </row>
    <row r="328" spans="1:6" ht="20.25" thickTop="1" thickBot="1" x14ac:dyDescent="0.3">
      <c r="A328" s="6" t="s">
        <v>142</v>
      </c>
      <c r="B328" s="6"/>
      <c r="C328" s="6"/>
      <c r="D328" s="11">
        <v>2599</v>
      </c>
      <c r="E328" s="15"/>
      <c r="F328" s="12">
        <f t="shared" ref="F328:F337" si="12">D328*E328</f>
        <v>0</v>
      </c>
    </row>
    <row r="329" spans="1:6" ht="39" thickTop="1" thickBot="1" x14ac:dyDescent="0.3">
      <c r="A329" s="6" t="s">
        <v>143</v>
      </c>
      <c r="B329" s="6"/>
      <c r="C329" s="6"/>
      <c r="D329" s="11">
        <v>226</v>
      </c>
      <c r="E329" s="15"/>
      <c r="F329" s="12">
        <f t="shared" si="12"/>
        <v>0</v>
      </c>
    </row>
    <row r="330" spans="1:6" ht="20.25" thickTop="1" thickBot="1" x14ac:dyDescent="0.3">
      <c r="A330" s="6" t="s">
        <v>144</v>
      </c>
      <c r="B330" s="6"/>
      <c r="C330" s="6"/>
      <c r="D330" s="11">
        <v>407</v>
      </c>
      <c r="E330" s="15"/>
      <c r="F330" s="12">
        <f t="shared" si="12"/>
        <v>0</v>
      </c>
    </row>
    <row r="331" spans="1:6" ht="20.25" thickTop="1" thickBot="1" x14ac:dyDescent="0.3">
      <c r="A331" s="6" t="s">
        <v>145</v>
      </c>
      <c r="B331" s="6"/>
      <c r="C331" s="6"/>
      <c r="D331" s="11">
        <v>17</v>
      </c>
      <c r="E331" s="15"/>
      <c r="F331" s="12">
        <f t="shared" si="12"/>
        <v>0</v>
      </c>
    </row>
    <row r="332" spans="1:6" ht="20.25" thickTop="1" thickBot="1" x14ac:dyDescent="0.3">
      <c r="A332" s="6" t="s">
        <v>384</v>
      </c>
      <c r="B332" s="6"/>
      <c r="C332" s="6"/>
      <c r="D332" s="11">
        <v>500</v>
      </c>
      <c r="E332" s="15">
        <v>2</v>
      </c>
      <c r="F332" s="12">
        <f t="shared" si="12"/>
        <v>1000</v>
      </c>
    </row>
    <row r="333" spans="1:6" ht="22.5" thickTop="1" thickBot="1" x14ac:dyDescent="0.3">
      <c r="A333" s="58" t="s">
        <v>39</v>
      </c>
      <c r="B333" s="59"/>
      <c r="C333" s="59"/>
      <c r="D333" s="59"/>
      <c r="E333" s="59"/>
      <c r="F333" s="60"/>
    </row>
    <row r="334" spans="1:6" ht="39" thickTop="1" thickBot="1" x14ac:dyDescent="0.3">
      <c r="A334" s="6" t="s">
        <v>138</v>
      </c>
      <c r="B334" s="6"/>
      <c r="C334" s="6"/>
      <c r="D334" s="11">
        <v>1200</v>
      </c>
      <c r="E334" s="14">
        <v>0</v>
      </c>
      <c r="F334" s="12">
        <f t="shared" si="12"/>
        <v>0</v>
      </c>
    </row>
    <row r="335" spans="1:6" ht="20.25" thickTop="1" thickBot="1" x14ac:dyDescent="0.3">
      <c r="A335" s="6" t="s">
        <v>381</v>
      </c>
      <c r="B335" s="6"/>
      <c r="C335" s="6"/>
      <c r="D335" s="11">
        <v>1000</v>
      </c>
      <c r="E335" s="14">
        <v>2</v>
      </c>
      <c r="F335" s="12">
        <f t="shared" si="12"/>
        <v>2000</v>
      </c>
    </row>
    <row r="336" spans="1:6" ht="39" thickTop="1" thickBot="1" x14ac:dyDescent="0.3">
      <c r="A336" s="6" t="s">
        <v>137</v>
      </c>
      <c r="B336" s="6"/>
      <c r="C336" s="6"/>
      <c r="D336" s="11">
        <v>3500</v>
      </c>
      <c r="E336" s="14">
        <v>0</v>
      </c>
      <c r="F336" s="12">
        <f t="shared" si="12"/>
        <v>0</v>
      </c>
    </row>
    <row r="337" spans="1:6" ht="20.25" thickTop="1" thickBot="1" x14ac:dyDescent="0.3">
      <c r="A337" s="6" t="s">
        <v>139</v>
      </c>
      <c r="B337" s="6"/>
      <c r="C337" s="6"/>
      <c r="D337" s="11">
        <v>2060</v>
      </c>
      <c r="E337" s="14">
        <v>0</v>
      </c>
      <c r="F337" s="12">
        <f t="shared" si="12"/>
        <v>0</v>
      </c>
    </row>
    <row r="338" spans="1:6" ht="22.5" thickTop="1" thickBot="1" x14ac:dyDescent="0.3">
      <c r="A338" s="58" t="s">
        <v>62</v>
      </c>
      <c r="B338" s="59"/>
      <c r="C338" s="59"/>
      <c r="D338" s="59"/>
      <c r="E338" s="59"/>
      <c r="F338" s="59"/>
    </row>
    <row r="339" spans="1:6" ht="20.25" thickTop="1" thickBot="1" x14ac:dyDescent="0.3">
      <c r="A339" s="6" t="s">
        <v>383</v>
      </c>
      <c r="B339" s="6"/>
      <c r="C339" s="6"/>
      <c r="D339" s="11">
        <v>700</v>
      </c>
      <c r="E339" s="14">
        <v>4</v>
      </c>
      <c r="F339" s="13">
        <f>D339*E339</f>
        <v>2800</v>
      </c>
    </row>
    <row r="340" spans="1:6" ht="24.75" thickTop="1" thickBot="1" x14ac:dyDescent="0.3">
      <c r="A340" s="68" t="s">
        <v>36</v>
      </c>
      <c r="B340" s="69"/>
      <c r="C340" s="69"/>
      <c r="D340" s="69"/>
      <c r="E340" s="69"/>
      <c r="F340" s="70"/>
    </row>
    <row r="341" spans="1:6" ht="33.75" customHeight="1" thickTop="1" thickBot="1" x14ac:dyDescent="0.3">
      <c r="A341" s="35"/>
      <c r="B341" s="36"/>
      <c r="C341" s="37"/>
      <c r="D341" s="3" t="s">
        <v>30</v>
      </c>
      <c r="E341" s="7">
        <f>F339+F337+F336+F335+F334+F332+F331+F330+F329+F328+F326+F325+F324+F323+F321+F320+F319+F317+F316+F315+F314+F312+F311+F310+F309+F308+F307+F306+F305+F304+F302+F301+F300+F299+F298+F297+F296+F295+F294+F292+F291+F290+F289+F288+F286+F285+F284+F283+F282+F281+F280+F277+F276+F275+F274+F273+F272+F271+F269+F268+F267+F266+F265+F264+F263+F262+F260+F259+F258+F257+F256+F255+F254+F253+F251+F250+F249+F248+F247+F246+F245+F242+F241+F240+F239+F237+F236+F235+F234+F233+F230+F229+F228+F227+F226+F225+F223+F222+F221+F220+F219+F218+F216+F215+F214+F213+F211+F210+F209+F208+F207+F204+F203+F202+F201+F199+F198+F197+F196+F195+F193+F192+F191+F189+F188+F187+F186+F184+F183+F182+F181+F180+F178+F177+F176+F175+F174+F173+F172+F171+F170+F168+F167+F166+F165+F164+F163+F162+F161+F160+F158+F157+F156+F155+F154+F153+F152+F151+F149+F148+F147+F146+F145+F144+F143+F140+F139+F138+F137+F136+F135+F133+F131+F130+F129+F128+F127+F126+F125+F124+F123+F121+F120+F119+F118+F117+F116+F115+F113+F112+F111+F110+F108+F107+F106+F105+F104+F103+F102+F101+F100+F99+F98+F97+F96+F95+F94+F93+F92+F91+F90+F89+F88+F87+F86+F85+F84+F80+F79+F78+F77+F76+F75+F73+F72+F71+F70+F69+F67+F66+F64++F63+F65+F61+F60+F59+F58+F57+F55+F54+F53+F52+F50+F49+F48+F47+F46+F45+F44+F43+F42+F40+F39+F38+F37+F36+F35+F34+F33+F32+F31+F30+F29+F28+F25+F23+F22+F21+F20+F19+F18+F17+F16+F15+F14+F13+F12+F10+F9+F8+F7+F6+F5+F4+F3</f>
        <v>30650</v>
      </c>
      <c r="F341" s="7"/>
    </row>
    <row r="342" spans="1:6" ht="27" customHeight="1" thickTop="1" thickBot="1" x14ac:dyDescent="0.3">
      <c r="A342" s="38"/>
      <c r="B342" s="39"/>
      <c r="C342" s="40"/>
      <c r="D342" s="3" t="s">
        <v>29</v>
      </c>
      <c r="E342" s="7">
        <f>ROUNDUP((0.8*E341),0)</f>
        <v>24520</v>
      </c>
      <c r="F342" s="7"/>
    </row>
    <row r="343" spans="1:6" ht="28.5" customHeight="1" thickTop="1" thickBot="1" x14ac:dyDescent="0.3">
      <c r="A343" s="38"/>
      <c r="B343" s="39"/>
      <c r="C343" s="40"/>
      <c r="D343" s="3" t="s">
        <v>9</v>
      </c>
      <c r="E343" s="7">
        <f>ROUNDUP((0.55*E341),0)</f>
        <v>16858</v>
      </c>
      <c r="F343" s="7"/>
    </row>
    <row r="344" spans="1:6" ht="24.75" customHeight="1" thickTop="1" thickBot="1" x14ac:dyDescent="0.3">
      <c r="A344" s="38"/>
      <c r="B344" s="39"/>
      <c r="C344" s="40"/>
      <c r="D344" s="3" t="s">
        <v>31</v>
      </c>
      <c r="E344" s="7">
        <v>2500</v>
      </c>
      <c r="F344" s="7">
        <f>E344</f>
        <v>2500</v>
      </c>
    </row>
    <row r="345" spans="1:6" ht="19.5" customHeight="1" thickTop="1" thickBot="1" x14ac:dyDescent="0.3">
      <c r="A345" s="38"/>
      <c r="B345" s="39"/>
      <c r="C345" s="40"/>
      <c r="D345" s="3" t="s">
        <v>10</v>
      </c>
      <c r="E345" s="7">
        <v>6500</v>
      </c>
      <c r="F345" s="7">
        <v>10000</v>
      </c>
    </row>
    <row r="346" spans="1:6" ht="31.5" customHeight="1" thickTop="1" thickBot="1" x14ac:dyDescent="0.3">
      <c r="A346" s="38"/>
      <c r="B346" s="39"/>
      <c r="C346" s="40"/>
      <c r="D346" s="3" t="s">
        <v>32</v>
      </c>
      <c r="E346" s="7">
        <f>ROUNDUP((0.08*E341),0)</f>
        <v>2452</v>
      </c>
      <c r="F346" s="7"/>
    </row>
    <row r="347" spans="1:6" ht="29.25" customHeight="1" thickTop="1" thickBot="1" x14ac:dyDescent="0.3">
      <c r="A347" s="38"/>
      <c r="B347" s="39"/>
      <c r="C347" s="40"/>
      <c r="D347" s="3" t="s">
        <v>33</v>
      </c>
      <c r="E347" s="7">
        <f>ROUNDUP((E341*0.05),0)</f>
        <v>1533</v>
      </c>
      <c r="F347" s="7"/>
    </row>
    <row r="348" spans="1:6" ht="36" customHeight="1" thickTop="1" thickBot="1" x14ac:dyDescent="0.3">
      <c r="A348" s="38"/>
      <c r="B348" s="39"/>
      <c r="C348" s="40"/>
      <c r="D348" s="16" t="s">
        <v>35</v>
      </c>
      <c r="E348" s="71">
        <f>ROUNDUP((SUM(E341:E347)),0)</f>
        <v>85013</v>
      </c>
      <c r="F348" s="72"/>
    </row>
    <row r="349" spans="1:6" ht="29.25" customHeight="1" thickTop="1" thickBot="1" x14ac:dyDescent="0.3">
      <c r="A349" s="38"/>
      <c r="B349" s="39"/>
      <c r="C349" s="40"/>
      <c r="D349" s="3" t="s">
        <v>34</v>
      </c>
      <c r="E349" s="73">
        <f>ROUNDUP((0.3*E348),0)</f>
        <v>25504</v>
      </c>
      <c r="F349" s="74"/>
    </row>
    <row r="350" spans="1:6" ht="34.5" customHeight="1" thickTop="1" thickBot="1" x14ac:dyDescent="0.3">
      <c r="A350" s="38"/>
      <c r="B350" s="39"/>
      <c r="C350" s="40"/>
      <c r="D350" s="16" t="s">
        <v>35</v>
      </c>
      <c r="E350" s="71">
        <f>ROUND((E349+E348),0)</f>
        <v>110517</v>
      </c>
      <c r="F350" s="72"/>
    </row>
    <row r="351" spans="1:6" ht="27" customHeight="1" thickTop="1" thickBot="1" x14ac:dyDescent="0.3">
      <c r="A351" s="38"/>
      <c r="B351" s="39"/>
      <c r="C351" s="40"/>
      <c r="D351" s="4" t="s">
        <v>27</v>
      </c>
      <c r="E351" s="73">
        <f>ROUNDUP((E350*0.3)*0.05,0)</f>
        <v>1658</v>
      </c>
      <c r="F351" s="74"/>
    </row>
    <row r="352" spans="1:6" ht="29.25" customHeight="1" thickTop="1" thickBot="1" x14ac:dyDescent="0.3">
      <c r="A352" s="38"/>
      <c r="B352" s="39"/>
      <c r="C352" s="40"/>
      <c r="D352" s="4" t="s">
        <v>12</v>
      </c>
      <c r="E352" s="73">
        <v>0</v>
      </c>
      <c r="F352" s="74"/>
    </row>
    <row r="353" spans="1:6" ht="20.25" thickTop="1" thickBot="1" x14ac:dyDescent="0.3">
      <c r="A353" s="38"/>
      <c r="B353" s="39"/>
      <c r="C353" s="40"/>
      <c r="D353" s="16" t="s">
        <v>318</v>
      </c>
      <c r="E353" s="71">
        <f>ROUNDUP((E350+E351+E352),0)</f>
        <v>112175</v>
      </c>
      <c r="F353" s="72"/>
    </row>
    <row r="354" spans="1:6" ht="32.25" customHeight="1" thickTop="1" thickBot="1" x14ac:dyDescent="0.3">
      <c r="A354" s="41"/>
      <c r="B354" s="42"/>
      <c r="C354" s="43"/>
      <c r="D354" s="29" t="s">
        <v>317</v>
      </c>
      <c r="E354" s="66">
        <f>E353*1.13</f>
        <v>126757.74999999999</v>
      </c>
      <c r="F354" s="67"/>
    </row>
    <row r="355" spans="1:6" ht="15.75" thickTop="1" x14ac:dyDescent="0.25">
      <c r="F355" s="34"/>
    </row>
  </sheetData>
  <mergeCells count="60">
    <mergeCell ref="A81:F81"/>
    <mergeCell ref="A2:F2"/>
    <mergeCell ref="A11:F11"/>
    <mergeCell ref="A24:F24"/>
    <mergeCell ref="A26:F26"/>
    <mergeCell ref="A27:F27"/>
    <mergeCell ref="A41:F41"/>
    <mergeCell ref="A51:F51"/>
    <mergeCell ref="A56:F56"/>
    <mergeCell ref="A62:F62"/>
    <mergeCell ref="A68:F68"/>
    <mergeCell ref="A74:F74"/>
    <mergeCell ref="A179:F179"/>
    <mergeCell ref="A82:F82"/>
    <mergeCell ref="A109:F109"/>
    <mergeCell ref="A114:F114"/>
    <mergeCell ref="A122:F122"/>
    <mergeCell ref="A132:F132"/>
    <mergeCell ref="A134:F134"/>
    <mergeCell ref="A141:F141"/>
    <mergeCell ref="A142:F142"/>
    <mergeCell ref="A150:F150"/>
    <mergeCell ref="A159:F159"/>
    <mergeCell ref="A169:F169"/>
    <mergeCell ref="A238:F238"/>
    <mergeCell ref="A185:F185"/>
    <mergeCell ref="A190:F190"/>
    <mergeCell ref="A194:F194"/>
    <mergeCell ref="A200:F200"/>
    <mergeCell ref="A205:F205"/>
    <mergeCell ref="A206:F206"/>
    <mergeCell ref="A212:F212"/>
    <mergeCell ref="A217:F217"/>
    <mergeCell ref="A224:F224"/>
    <mergeCell ref="A231:F231"/>
    <mergeCell ref="A232:F232"/>
    <mergeCell ref="A318:F318"/>
    <mergeCell ref="A243:F243"/>
    <mergeCell ref="A244:F244"/>
    <mergeCell ref="A252:F252"/>
    <mergeCell ref="A261:F261"/>
    <mergeCell ref="A270:F270"/>
    <mergeCell ref="A278:F278"/>
    <mergeCell ref="A279:F279"/>
    <mergeCell ref="A287:F287"/>
    <mergeCell ref="A293:F293"/>
    <mergeCell ref="A303:F303"/>
    <mergeCell ref="A313:F313"/>
    <mergeCell ref="E354:F354"/>
    <mergeCell ref="A322:F322"/>
    <mergeCell ref="A327:F327"/>
    <mergeCell ref="A333:F333"/>
    <mergeCell ref="A338:F338"/>
    <mergeCell ref="A340:F340"/>
    <mergeCell ref="E348:F348"/>
    <mergeCell ref="E349:F349"/>
    <mergeCell ref="E350:F350"/>
    <mergeCell ref="E351:F351"/>
    <mergeCell ref="E352:F352"/>
    <mergeCell ref="E353:F353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DCF6-3DB6-464D-AC40-E3AA66D224A3}">
  <dimension ref="A1:H355"/>
  <sheetViews>
    <sheetView topLeftCell="A333" zoomScale="69" zoomScaleNormal="60" workbookViewId="0">
      <selection activeCell="F360" sqref="F360"/>
    </sheetView>
  </sheetViews>
  <sheetFormatPr defaultColWidth="38.7109375" defaultRowHeight="15" x14ac:dyDescent="0.25"/>
  <cols>
    <col min="1" max="1" width="69.140625" customWidth="1"/>
    <col min="2" max="2" width="14.5703125" customWidth="1"/>
    <col min="3" max="3" width="19.85546875" customWidth="1"/>
    <col min="4" max="4" width="31.140625" customWidth="1"/>
    <col min="5" max="5" width="18.5703125" style="33" customWidth="1"/>
    <col min="6" max="6" width="24.85546875" bestFit="1" customWidth="1"/>
    <col min="7" max="7" width="79.7109375" customWidth="1"/>
  </cols>
  <sheetData>
    <row r="1" spans="1:7" ht="22.5" thickTop="1" thickBot="1" x14ac:dyDescent="0.3">
      <c r="A1" s="5" t="s">
        <v>0</v>
      </c>
      <c r="B1" s="5" t="s">
        <v>183</v>
      </c>
      <c r="C1" s="5" t="s">
        <v>188</v>
      </c>
      <c r="D1" s="5" t="s">
        <v>2</v>
      </c>
      <c r="E1" s="5" t="s">
        <v>1</v>
      </c>
      <c r="F1" s="9" t="s">
        <v>3</v>
      </c>
    </row>
    <row r="2" spans="1:7" ht="24.75" thickTop="1" thickBot="1" x14ac:dyDescent="0.3">
      <c r="A2" s="46" t="s">
        <v>42</v>
      </c>
      <c r="B2" s="47"/>
      <c r="C2" s="47"/>
      <c r="D2" s="47"/>
      <c r="E2" s="47"/>
      <c r="F2" s="48"/>
    </row>
    <row r="3" spans="1:7" ht="20.25" thickTop="1" thickBot="1" x14ac:dyDescent="0.3">
      <c r="A3" s="6" t="s">
        <v>322</v>
      </c>
      <c r="B3" s="6"/>
      <c r="C3" s="6" t="s">
        <v>191</v>
      </c>
      <c r="D3" s="11">
        <v>6000</v>
      </c>
      <c r="E3" s="14">
        <v>0</v>
      </c>
      <c r="F3" s="12">
        <f t="shared" ref="F3:F19" si="0">ROUNDUP(E3*D3,0)</f>
        <v>0</v>
      </c>
    </row>
    <row r="4" spans="1:7" ht="20.25" thickTop="1" thickBot="1" x14ac:dyDescent="0.3">
      <c r="A4" s="6" t="s">
        <v>322</v>
      </c>
      <c r="B4" s="6"/>
      <c r="C4" s="6" t="s">
        <v>191</v>
      </c>
      <c r="D4" s="11">
        <v>6650</v>
      </c>
      <c r="E4" s="14">
        <v>0</v>
      </c>
      <c r="F4" s="12">
        <f t="shared" si="0"/>
        <v>0</v>
      </c>
    </row>
    <row r="5" spans="1:7" ht="20.25" thickTop="1" thickBot="1" x14ac:dyDescent="0.3">
      <c r="A5" s="6" t="s">
        <v>321</v>
      </c>
      <c r="B5" s="6"/>
      <c r="C5" s="6" t="s">
        <v>191</v>
      </c>
      <c r="D5" s="11">
        <v>8050</v>
      </c>
      <c r="E5" s="14">
        <v>0</v>
      </c>
      <c r="F5" s="12">
        <f t="shared" si="0"/>
        <v>0</v>
      </c>
    </row>
    <row r="6" spans="1:7" ht="20.25" thickTop="1" thickBot="1" x14ac:dyDescent="0.3">
      <c r="A6" s="6" t="s">
        <v>43</v>
      </c>
      <c r="B6" s="6" t="s">
        <v>315</v>
      </c>
      <c r="C6" s="6" t="s">
        <v>189</v>
      </c>
      <c r="D6" s="11">
        <v>5650</v>
      </c>
      <c r="E6" s="14">
        <v>7</v>
      </c>
      <c r="F6" s="12">
        <f t="shared" si="0"/>
        <v>39550</v>
      </c>
    </row>
    <row r="7" spans="1:7" ht="20.25" thickTop="1" thickBot="1" x14ac:dyDescent="0.3">
      <c r="A7" s="6" t="s">
        <v>43</v>
      </c>
      <c r="B7" s="6" t="s">
        <v>314</v>
      </c>
      <c r="C7" s="6" t="s">
        <v>189</v>
      </c>
      <c r="D7" s="11">
        <v>6400</v>
      </c>
      <c r="E7" s="14">
        <v>4</v>
      </c>
      <c r="F7" s="12">
        <f t="shared" si="0"/>
        <v>25600</v>
      </c>
    </row>
    <row r="8" spans="1:7" ht="20.25" thickTop="1" thickBot="1" x14ac:dyDescent="0.3">
      <c r="A8" s="6" t="s">
        <v>323</v>
      </c>
      <c r="B8" s="6" t="s">
        <v>315</v>
      </c>
      <c r="C8" s="6" t="s">
        <v>190</v>
      </c>
      <c r="D8" s="11">
        <v>5100</v>
      </c>
      <c r="E8" s="14"/>
      <c r="F8" s="12">
        <f t="shared" si="0"/>
        <v>0</v>
      </c>
    </row>
    <row r="9" spans="1:7" ht="20.25" thickTop="1" thickBot="1" x14ac:dyDescent="0.3">
      <c r="A9" s="6" t="s">
        <v>323</v>
      </c>
      <c r="B9" s="6" t="s">
        <v>314</v>
      </c>
      <c r="C9" s="6" t="s">
        <v>190</v>
      </c>
      <c r="D9" s="11">
        <v>5600</v>
      </c>
      <c r="E9" s="14">
        <v>0</v>
      </c>
      <c r="F9" s="12">
        <f t="shared" si="0"/>
        <v>0</v>
      </c>
    </row>
    <row r="10" spans="1:7" ht="20.25" thickTop="1" thickBot="1" x14ac:dyDescent="0.3">
      <c r="A10" s="6" t="s">
        <v>324</v>
      </c>
      <c r="B10" s="6" t="s">
        <v>382</v>
      </c>
      <c r="C10" s="6" t="s">
        <v>191</v>
      </c>
      <c r="D10" s="11">
        <v>3600</v>
      </c>
      <c r="E10" s="14"/>
      <c r="F10" s="12">
        <f t="shared" si="0"/>
        <v>0</v>
      </c>
    </row>
    <row r="11" spans="1:7" ht="22.5" thickTop="1" thickBot="1" x14ac:dyDescent="0.3">
      <c r="A11" s="49" t="s">
        <v>127</v>
      </c>
      <c r="B11" s="50"/>
      <c r="C11" s="50"/>
      <c r="D11" s="50"/>
      <c r="E11" s="50"/>
      <c r="F11" s="50"/>
    </row>
    <row r="12" spans="1:7" ht="20.25" thickTop="1" thickBot="1" x14ac:dyDescent="0.3">
      <c r="A12" s="6" t="s">
        <v>141</v>
      </c>
      <c r="B12" s="6"/>
      <c r="C12" s="6" t="s">
        <v>191</v>
      </c>
      <c r="D12" s="11">
        <v>17.5</v>
      </c>
      <c r="E12" s="14"/>
      <c r="F12" s="12">
        <f t="shared" si="0"/>
        <v>0</v>
      </c>
    </row>
    <row r="13" spans="1:7" ht="20.25" thickTop="1" thickBot="1" x14ac:dyDescent="0.3">
      <c r="A13" s="6" t="s">
        <v>128</v>
      </c>
      <c r="B13" s="6"/>
      <c r="C13" s="6" t="s">
        <v>191</v>
      </c>
      <c r="D13" s="11">
        <v>34</v>
      </c>
      <c r="E13" s="14">
        <v>400</v>
      </c>
      <c r="F13" s="12">
        <f t="shared" si="0"/>
        <v>13600</v>
      </c>
    </row>
    <row r="14" spans="1:7" ht="20.25" thickTop="1" thickBot="1" x14ac:dyDescent="0.3">
      <c r="A14" s="6" t="s">
        <v>129</v>
      </c>
      <c r="B14" s="6"/>
      <c r="C14" s="6" t="s">
        <v>191</v>
      </c>
      <c r="D14" s="11">
        <v>60</v>
      </c>
      <c r="E14" s="14"/>
      <c r="F14" s="12">
        <f t="shared" si="0"/>
        <v>0</v>
      </c>
    </row>
    <row r="15" spans="1:7" ht="20.25" thickTop="1" thickBot="1" x14ac:dyDescent="0.3">
      <c r="A15" s="6" t="s">
        <v>130</v>
      </c>
      <c r="B15" s="6"/>
      <c r="C15" s="6" t="s">
        <v>191</v>
      </c>
      <c r="D15" s="11">
        <v>129.5</v>
      </c>
      <c r="E15" s="14"/>
      <c r="F15" s="12">
        <f t="shared" si="0"/>
        <v>0</v>
      </c>
    </row>
    <row r="16" spans="1:7" ht="20.25" thickTop="1" thickBot="1" x14ac:dyDescent="0.3">
      <c r="A16" s="6" t="s">
        <v>180</v>
      </c>
      <c r="B16" s="6"/>
      <c r="C16" s="6" t="s">
        <v>189</v>
      </c>
      <c r="D16" s="11">
        <v>18</v>
      </c>
      <c r="E16" s="14"/>
      <c r="F16" s="12">
        <f t="shared" si="0"/>
        <v>0</v>
      </c>
      <c r="G16" s="27"/>
    </row>
    <row r="17" spans="1:7" ht="20.25" thickTop="1" thickBot="1" x14ac:dyDescent="0.3">
      <c r="A17" s="6" t="s">
        <v>131</v>
      </c>
      <c r="B17" s="6"/>
      <c r="C17" s="6" t="s">
        <v>189</v>
      </c>
      <c r="D17" s="11">
        <v>32</v>
      </c>
      <c r="E17" s="14"/>
      <c r="F17" s="12">
        <f t="shared" si="0"/>
        <v>0</v>
      </c>
      <c r="G17" s="27"/>
    </row>
    <row r="18" spans="1:7" ht="20.25" thickTop="1" thickBot="1" x14ac:dyDescent="0.3">
      <c r="A18" s="6" t="s">
        <v>132</v>
      </c>
      <c r="B18" s="6"/>
      <c r="C18" s="6" t="s">
        <v>189</v>
      </c>
      <c r="D18" s="11">
        <v>56.5</v>
      </c>
      <c r="E18" s="14"/>
      <c r="F18" s="12">
        <f t="shared" si="0"/>
        <v>0</v>
      </c>
      <c r="G18" s="27"/>
    </row>
    <row r="19" spans="1:7" ht="20.25" thickTop="1" thickBot="1" x14ac:dyDescent="0.3">
      <c r="A19" s="6" t="s">
        <v>319</v>
      </c>
      <c r="B19" s="6"/>
      <c r="C19" s="6" t="s">
        <v>189</v>
      </c>
      <c r="D19" s="11">
        <v>80</v>
      </c>
      <c r="E19" s="14"/>
      <c r="F19" s="12">
        <f t="shared" si="0"/>
        <v>0</v>
      </c>
      <c r="G19" s="27"/>
    </row>
    <row r="20" spans="1:7" ht="20.25" thickTop="1" thickBot="1" x14ac:dyDescent="0.3">
      <c r="A20" s="6" t="s">
        <v>184</v>
      </c>
      <c r="B20" s="6"/>
      <c r="C20" s="6" t="s">
        <v>190</v>
      </c>
      <c r="D20" s="11"/>
      <c r="E20" s="14"/>
      <c r="F20" s="13"/>
      <c r="G20" s="27"/>
    </row>
    <row r="21" spans="1:7" ht="20.25" thickTop="1" thickBot="1" x14ac:dyDescent="0.3">
      <c r="A21" s="6" t="s">
        <v>185</v>
      </c>
      <c r="B21" s="6"/>
      <c r="C21" s="6" t="s">
        <v>190</v>
      </c>
      <c r="D21" s="11"/>
      <c r="E21" s="14"/>
      <c r="F21" s="13"/>
      <c r="G21" s="27"/>
    </row>
    <row r="22" spans="1:7" ht="20.25" thickTop="1" thickBot="1" x14ac:dyDescent="0.3">
      <c r="A22" s="6" t="s">
        <v>186</v>
      </c>
      <c r="B22" s="6"/>
      <c r="C22" s="6" t="s">
        <v>190</v>
      </c>
      <c r="D22" s="11"/>
      <c r="E22" s="14"/>
      <c r="F22" s="13"/>
      <c r="G22" s="27"/>
    </row>
    <row r="23" spans="1:7" ht="20.25" thickTop="1" thickBot="1" x14ac:dyDescent="0.3">
      <c r="A23" s="6" t="s">
        <v>187</v>
      </c>
      <c r="B23" s="6"/>
      <c r="C23" s="6" t="s">
        <v>190</v>
      </c>
      <c r="D23" s="11"/>
      <c r="E23" s="14"/>
      <c r="F23" s="13"/>
      <c r="G23" s="27"/>
    </row>
    <row r="24" spans="1:7" ht="24.75" thickTop="1" thickBot="1" x14ac:dyDescent="0.3">
      <c r="A24" s="46" t="s">
        <v>181</v>
      </c>
      <c r="B24" s="47"/>
      <c r="C24" s="47"/>
      <c r="D24" s="47"/>
      <c r="E24" s="47"/>
      <c r="F24" s="48"/>
    </row>
    <row r="25" spans="1:7" ht="20.25" thickTop="1" thickBot="1" x14ac:dyDescent="0.3">
      <c r="A25" s="6" t="s">
        <v>182</v>
      </c>
      <c r="B25" s="6"/>
      <c r="C25" s="6"/>
      <c r="D25" s="11">
        <v>1380</v>
      </c>
      <c r="E25" s="28">
        <v>3</v>
      </c>
      <c r="F25" s="12">
        <f>D25*E25</f>
        <v>4140</v>
      </c>
    </row>
    <row r="26" spans="1:7" ht="24.75" thickTop="1" thickBot="1" x14ac:dyDescent="0.3">
      <c r="A26" s="46" t="s">
        <v>44</v>
      </c>
      <c r="B26" s="47"/>
      <c r="C26" s="47"/>
      <c r="D26" s="47"/>
      <c r="E26" s="47"/>
      <c r="F26" s="48"/>
    </row>
    <row r="27" spans="1:7" ht="22.5" thickTop="1" thickBot="1" x14ac:dyDescent="0.3">
      <c r="A27" s="49" t="s">
        <v>227</v>
      </c>
      <c r="B27" s="50"/>
      <c r="C27" s="50"/>
      <c r="D27" s="50"/>
      <c r="E27" s="50"/>
      <c r="F27" s="50"/>
    </row>
    <row r="28" spans="1:7" ht="20.25" thickTop="1" thickBot="1" x14ac:dyDescent="0.3">
      <c r="A28" s="6" t="s">
        <v>77</v>
      </c>
      <c r="B28" s="6"/>
      <c r="C28" s="6" t="s">
        <v>189</v>
      </c>
      <c r="D28" s="11">
        <v>6800</v>
      </c>
      <c r="E28" s="14">
        <v>0</v>
      </c>
      <c r="F28" s="12">
        <f>ROUNDUP(E28*D28,0)</f>
        <v>0</v>
      </c>
    </row>
    <row r="29" spans="1:7" ht="20.25" thickTop="1" thickBot="1" x14ac:dyDescent="0.3">
      <c r="A29" s="6" t="s">
        <v>228</v>
      </c>
      <c r="B29" s="6"/>
      <c r="C29" s="6" t="s">
        <v>189</v>
      </c>
      <c r="D29" s="11">
        <v>6000</v>
      </c>
      <c r="E29" s="14">
        <v>0</v>
      </c>
      <c r="F29" s="12">
        <f t="shared" ref="F29:F131" si="1">ROUNDUP(E29*D29,0)</f>
        <v>0</v>
      </c>
    </row>
    <row r="30" spans="1:7" ht="20.25" thickTop="1" thickBot="1" x14ac:dyDescent="0.3">
      <c r="A30" s="6" t="s">
        <v>108</v>
      </c>
      <c r="B30" s="6"/>
      <c r="C30" s="6" t="s">
        <v>189</v>
      </c>
      <c r="D30" s="11">
        <v>9700</v>
      </c>
      <c r="E30" s="14">
        <v>0</v>
      </c>
      <c r="F30" s="12">
        <f t="shared" si="1"/>
        <v>0</v>
      </c>
    </row>
    <row r="31" spans="1:7" ht="20.25" thickTop="1" thickBot="1" x14ac:dyDescent="0.3">
      <c r="A31" s="6" t="s">
        <v>229</v>
      </c>
      <c r="B31" s="6"/>
      <c r="C31" s="6" t="s">
        <v>191</v>
      </c>
      <c r="D31" s="11">
        <v>13901</v>
      </c>
      <c r="E31" s="14"/>
      <c r="F31" s="12">
        <f t="shared" si="1"/>
        <v>0</v>
      </c>
    </row>
    <row r="32" spans="1:7" ht="20.25" thickTop="1" thickBot="1" x14ac:dyDescent="0.3">
      <c r="A32" s="6" t="s">
        <v>230</v>
      </c>
      <c r="B32" s="6"/>
      <c r="C32" s="6" t="s">
        <v>191</v>
      </c>
      <c r="D32" s="11">
        <v>9800</v>
      </c>
      <c r="E32" s="14"/>
      <c r="F32" s="12">
        <f t="shared" si="1"/>
        <v>0</v>
      </c>
    </row>
    <row r="33" spans="1:6" ht="20.25" thickTop="1" thickBot="1" x14ac:dyDescent="0.3">
      <c r="A33" s="6" t="s">
        <v>54</v>
      </c>
      <c r="B33" s="6"/>
      <c r="C33" s="6" t="s">
        <v>192</v>
      </c>
      <c r="D33" s="11">
        <v>10645</v>
      </c>
      <c r="E33" s="14"/>
      <c r="F33" s="12">
        <f t="shared" si="1"/>
        <v>0</v>
      </c>
    </row>
    <row r="34" spans="1:6" ht="20.25" thickTop="1" thickBot="1" x14ac:dyDescent="0.3">
      <c r="A34" s="6" t="s">
        <v>55</v>
      </c>
      <c r="B34" s="6"/>
      <c r="C34" s="6" t="s">
        <v>192</v>
      </c>
      <c r="D34" s="11">
        <v>13810</v>
      </c>
      <c r="E34" s="14"/>
      <c r="F34" s="12">
        <f t="shared" si="1"/>
        <v>0</v>
      </c>
    </row>
    <row r="35" spans="1:6" ht="20.25" thickTop="1" thickBot="1" x14ac:dyDescent="0.3">
      <c r="A35" s="6" t="s">
        <v>56</v>
      </c>
      <c r="B35" s="6"/>
      <c r="C35" s="6" t="s">
        <v>191</v>
      </c>
      <c r="D35" s="11">
        <v>24816</v>
      </c>
      <c r="E35" s="14"/>
      <c r="F35" s="12">
        <f t="shared" si="1"/>
        <v>0</v>
      </c>
    </row>
    <row r="36" spans="1:6" ht="20.25" thickTop="1" thickBot="1" x14ac:dyDescent="0.3">
      <c r="A36" s="6" t="s">
        <v>57</v>
      </c>
      <c r="B36" s="6"/>
      <c r="C36" s="6" t="s">
        <v>191</v>
      </c>
      <c r="D36" s="11">
        <v>11999</v>
      </c>
      <c r="E36" s="14"/>
      <c r="F36" s="12">
        <f t="shared" si="1"/>
        <v>0</v>
      </c>
    </row>
    <row r="37" spans="1:6" ht="20.25" thickTop="1" thickBot="1" x14ac:dyDescent="0.3">
      <c r="A37" s="6" t="s">
        <v>59</v>
      </c>
      <c r="B37" s="6"/>
      <c r="C37" s="6" t="s">
        <v>189</v>
      </c>
      <c r="D37" s="11">
        <v>12450</v>
      </c>
      <c r="E37" s="14">
        <v>0</v>
      </c>
      <c r="F37" s="12">
        <f t="shared" si="1"/>
        <v>0</v>
      </c>
    </row>
    <row r="38" spans="1:6" ht="20.25" thickTop="1" thickBot="1" x14ac:dyDescent="0.3">
      <c r="A38" s="6" t="s">
        <v>58</v>
      </c>
      <c r="B38" s="6"/>
      <c r="C38" s="6" t="s">
        <v>189</v>
      </c>
      <c r="D38" s="11">
        <v>17160</v>
      </c>
      <c r="E38" s="14"/>
      <c r="F38" s="12">
        <f t="shared" si="1"/>
        <v>0</v>
      </c>
    </row>
    <row r="39" spans="1:6" ht="20.25" thickTop="1" thickBot="1" x14ac:dyDescent="0.3">
      <c r="A39" s="6" t="s">
        <v>60</v>
      </c>
      <c r="B39" s="6"/>
      <c r="C39" s="6" t="s">
        <v>189</v>
      </c>
      <c r="D39" s="11">
        <v>10560</v>
      </c>
      <c r="E39" s="14"/>
      <c r="F39" s="12">
        <f t="shared" si="1"/>
        <v>0</v>
      </c>
    </row>
    <row r="40" spans="1:6" ht="20.25" thickTop="1" thickBot="1" x14ac:dyDescent="0.3">
      <c r="A40" s="6" t="s">
        <v>61</v>
      </c>
      <c r="B40" s="6"/>
      <c r="C40" s="6" t="s">
        <v>191</v>
      </c>
      <c r="D40" s="11">
        <v>26406</v>
      </c>
      <c r="E40" s="14"/>
      <c r="F40" s="12">
        <f t="shared" si="1"/>
        <v>0</v>
      </c>
    </row>
    <row r="41" spans="1:6" ht="22.5" thickTop="1" thickBot="1" x14ac:dyDescent="0.3">
      <c r="A41" s="49" t="s">
        <v>133</v>
      </c>
      <c r="B41" s="50"/>
      <c r="C41" s="50"/>
      <c r="D41" s="50"/>
      <c r="E41" s="50"/>
      <c r="F41" s="50"/>
    </row>
    <row r="42" spans="1:6" ht="20.25" thickTop="1" thickBot="1" x14ac:dyDescent="0.3">
      <c r="A42" s="6" t="s">
        <v>134</v>
      </c>
      <c r="B42" s="6"/>
      <c r="C42" s="6" t="s">
        <v>189</v>
      </c>
      <c r="D42" s="11">
        <v>45</v>
      </c>
      <c r="E42" s="14">
        <v>0</v>
      </c>
      <c r="F42" s="12">
        <f t="shared" ref="F42:F50" si="2">ROUNDUP(E42*D42,0)</f>
        <v>0</v>
      </c>
    </row>
    <row r="43" spans="1:6" ht="20.25" thickTop="1" thickBot="1" x14ac:dyDescent="0.3">
      <c r="A43" s="6" t="s">
        <v>135</v>
      </c>
      <c r="B43" s="6"/>
      <c r="C43" s="6" t="s">
        <v>192</v>
      </c>
      <c r="D43" s="11">
        <v>113</v>
      </c>
      <c r="E43" s="14">
        <v>0</v>
      </c>
      <c r="F43" s="12">
        <f t="shared" si="2"/>
        <v>0</v>
      </c>
    </row>
    <row r="44" spans="1:6" ht="20.25" thickTop="1" thickBot="1" x14ac:dyDescent="0.3">
      <c r="A44" s="6" t="s">
        <v>136</v>
      </c>
      <c r="B44" s="6"/>
      <c r="C44" s="6" t="s">
        <v>192</v>
      </c>
      <c r="D44" s="11">
        <v>113</v>
      </c>
      <c r="E44" s="14"/>
      <c r="F44" s="12">
        <f t="shared" si="2"/>
        <v>0</v>
      </c>
    </row>
    <row r="45" spans="1:6" ht="20.25" thickTop="1" thickBot="1" x14ac:dyDescent="0.3">
      <c r="A45" s="6" t="s">
        <v>164</v>
      </c>
      <c r="B45" s="6"/>
      <c r="C45" s="6" t="s">
        <v>191</v>
      </c>
      <c r="D45" s="11">
        <v>74.400000000000006</v>
      </c>
      <c r="E45" s="14">
        <v>0</v>
      </c>
      <c r="F45" s="12">
        <f t="shared" si="2"/>
        <v>0</v>
      </c>
    </row>
    <row r="46" spans="1:6" ht="20.25" thickTop="1" thickBot="1" x14ac:dyDescent="0.3">
      <c r="A46" s="6" t="s">
        <v>165</v>
      </c>
      <c r="B46" s="6"/>
      <c r="C46" s="6" t="s">
        <v>189</v>
      </c>
      <c r="D46" s="11">
        <v>85</v>
      </c>
      <c r="E46" s="14">
        <v>0</v>
      </c>
      <c r="F46" s="12">
        <f t="shared" si="2"/>
        <v>0</v>
      </c>
    </row>
    <row r="47" spans="1:6" ht="20.25" thickTop="1" thickBot="1" x14ac:dyDescent="0.3">
      <c r="A47" s="6" t="s">
        <v>166</v>
      </c>
      <c r="B47" s="6"/>
      <c r="C47" s="6" t="s">
        <v>189</v>
      </c>
      <c r="D47" s="11">
        <v>95.04</v>
      </c>
      <c r="E47" s="14"/>
      <c r="F47" s="12">
        <f t="shared" si="2"/>
        <v>0</v>
      </c>
    </row>
    <row r="48" spans="1:6" ht="20.25" thickTop="1" thickBot="1" x14ac:dyDescent="0.3">
      <c r="A48" s="6" t="s">
        <v>167</v>
      </c>
      <c r="B48" s="6"/>
      <c r="C48" s="6" t="s">
        <v>189</v>
      </c>
      <c r="D48" s="11">
        <v>87.62</v>
      </c>
      <c r="E48" s="14"/>
      <c r="F48" s="12">
        <f t="shared" si="2"/>
        <v>0</v>
      </c>
    </row>
    <row r="49" spans="1:8" ht="20.25" thickTop="1" thickBot="1" x14ac:dyDescent="0.3">
      <c r="A49" s="6" t="s">
        <v>168</v>
      </c>
      <c r="B49" s="6"/>
      <c r="C49" s="6" t="s">
        <v>191</v>
      </c>
      <c r="D49" s="11">
        <v>112.36</v>
      </c>
      <c r="E49" s="14"/>
      <c r="F49" s="12">
        <f t="shared" si="2"/>
        <v>0</v>
      </c>
    </row>
    <row r="50" spans="1:8" ht="20.25" thickTop="1" thickBot="1" x14ac:dyDescent="0.3">
      <c r="A50" s="6" t="s">
        <v>169</v>
      </c>
      <c r="B50" s="6"/>
      <c r="C50" s="6" t="s">
        <v>191</v>
      </c>
      <c r="D50" s="11">
        <v>144.76</v>
      </c>
      <c r="E50" s="14"/>
      <c r="F50" s="12">
        <f t="shared" si="2"/>
        <v>0</v>
      </c>
    </row>
    <row r="51" spans="1:8" s="31" customFormat="1" ht="22.5" thickTop="1" thickBot="1" x14ac:dyDescent="0.4">
      <c r="A51" s="51" t="s">
        <v>231</v>
      </c>
      <c r="B51" s="52"/>
      <c r="C51" s="52"/>
      <c r="D51" s="52"/>
      <c r="E51" s="52"/>
      <c r="F51" s="52"/>
    </row>
    <row r="52" spans="1:8" ht="20.25" thickTop="1" thickBot="1" x14ac:dyDescent="0.3">
      <c r="A52" s="6" t="s">
        <v>193</v>
      </c>
      <c r="B52" s="6"/>
      <c r="C52" s="6" t="s">
        <v>197</v>
      </c>
      <c r="D52" s="11">
        <v>5600</v>
      </c>
      <c r="E52" s="14"/>
      <c r="F52" s="12">
        <f t="shared" si="1"/>
        <v>0</v>
      </c>
    </row>
    <row r="53" spans="1:8" ht="20.25" thickTop="1" thickBot="1" x14ac:dyDescent="0.3">
      <c r="A53" s="6" t="s">
        <v>194</v>
      </c>
      <c r="B53" s="6"/>
      <c r="C53" s="6" t="s">
        <v>197</v>
      </c>
      <c r="D53" s="11">
        <v>6800</v>
      </c>
      <c r="E53" s="14"/>
      <c r="F53" s="12">
        <f t="shared" si="1"/>
        <v>0</v>
      </c>
    </row>
    <row r="54" spans="1:8" ht="20.25" thickTop="1" thickBot="1" x14ac:dyDescent="0.3">
      <c r="A54" s="6" t="s">
        <v>195</v>
      </c>
      <c r="B54" s="6"/>
      <c r="C54" s="6" t="s">
        <v>197</v>
      </c>
      <c r="D54" s="11">
        <v>8030</v>
      </c>
      <c r="E54" s="14"/>
      <c r="F54" s="12">
        <f t="shared" si="1"/>
        <v>0</v>
      </c>
    </row>
    <row r="55" spans="1:8" ht="20.25" thickTop="1" thickBot="1" x14ac:dyDescent="0.3">
      <c r="A55" s="6" t="s">
        <v>196</v>
      </c>
      <c r="B55" s="6"/>
      <c r="C55" s="6" t="s">
        <v>197</v>
      </c>
      <c r="D55" s="11">
        <v>11330</v>
      </c>
      <c r="E55" s="14"/>
      <c r="F55" s="12">
        <f t="shared" si="1"/>
        <v>0</v>
      </c>
      <c r="H55" t="s">
        <v>4</v>
      </c>
    </row>
    <row r="56" spans="1:8" ht="20.25" thickTop="1" thickBot="1" x14ac:dyDescent="0.3">
      <c r="A56" s="53"/>
      <c r="B56" s="54"/>
      <c r="C56" s="54"/>
      <c r="D56" s="54"/>
      <c r="E56" s="54"/>
      <c r="F56" s="54"/>
    </row>
    <row r="57" spans="1:8" ht="20.25" thickTop="1" thickBot="1" x14ac:dyDescent="0.3">
      <c r="A57" s="6" t="s">
        <v>203</v>
      </c>
      <c r="B57" s="6"/>
      <c r="C57" s="6" t="s">
        <v>197</v>
      </c>
      <c r="D57" s="11">
        <v>3900</v>
      </c>
      <c r="E57" s="14"/>
      <c r="F57" s="12">
        <f t="shared" si="1"/>
        <v>0</v>
      </c>
    </row>
    <row r="58" spans="1:8" ht="20.25" thickTop="1" thickBot="1" x14ac:dyDescent="0.3">
      <c r="A58" s="6" t="s">
        <v>204</v>
      </c>
      <c r="B58" s="6"/>
      <c r="C58" s="6" t="s">
        <v>197</v>
      </c>
      <c r="D58" s="11">
        <v>4500</v>
      </c>
      <c r="E58" s="14"/>
      <c r="F58" s="12">
        <f t="shared" si="1"/>
        <v>0</v>
      </c>
    </row>
    <row r="59" spans="1:8" ht="20.25" thickTop="1" thickBot="1" x14ac:dyDescent="0.3">
      <c r="A59" s="6" t="s">
        <v>205</v>
      </c>
      <c r="B59" s="6"/>
      <c r="C59" s="6" t="s">
        <v>197</v>
      </c>
      <c r="D59" s="11">
        <v>5400</v>
      </c>
      <c r="E59" s="14"/>
      <c r="F59" s="12">
        <f t="shared" si="1"/>
        <v>0</v>
      </c>
    </row>
    <row r="60" spans="1:8" ht="20.25" thickTop="1" thickBot="1" x14ac:dyDescent="0.3">
      <c r="A60" s="6" t="s">
        <v>206</v>
      </c>
      <c r="B60" s="6"/>
      <c r="C60" s="6" t="s">
        <v>197</v>
      </c>
      <c r="D60" s="11">
        <v>6200</v>
      </c>
      <c r="E60" s="14"/>
      <c r="F60" s="12">
        <f t="shared" si="1"/>
        <v>0</v>
      </c>
    </row>
    <row r="61" spans="1:8" ht="20.25" thickTop="1" thickBot="1" x14ac:dyDescent="0.3">
      <c r="A61" s="6" t="s">
        <v>207</v>
      </c>
      <c r="B61" s="6"/>
      <c r="C61" s="6" t="s">
        <v>197</v>
      </c>
      <c r="D61" s="11">
        <v>6650</v>
      </c>
      <c r="E61" s="14"/>
      <c r="F61" s="12">
        <f t="shared" si="1"/>
        <v>0</v>
      </c>
    </row>
    <row r="62" spans="1:8" ht="20.25" thickTop="1" thickBot="1" x14ac:dyDescent="0.3">
      <c r="A62" s="53"/>
      <c r="B62" s="54"/>
      <c r="C62" s="54"/>
      <c r="D62" s="54"/>
      <c r="E62" s="54"/>
      <c r="F62" s="54"/>
    </row>
    <row r="63" spans="1:8" ht="20.25" thickTop="1" thickBot="1" x14ac:dyDescent="0.3">
      <c r="A63" s="6" t="s">
        <v>198</v>
      </c>
      <c r="B63" s="6"/>
      <c r="C63" s="6" t="s">
        <v>197</v>
      </c>
      <c r="D63" s="11">
        <v>4650</v>
      </c>
      <c r="E63" s="14"/>
      <c r="F63" s="12">
        <f t="shared" si="1"/>
        <v>0</v>
      </c>
    </row>
    <row r="64" spans="1:8" ht="20.25" thickTop="1" thickBot="1" x14ac:dyDescent="0.3">
      <c r="A64" s="6" t="s">
        <v>199</v>
      </c>
      <c r="B64" s="6"/>
      <c r="C64" s="6" t="s">
        <v>197</v>
      </c>
      <c r="D64" s="11">
        <v>5250</v>
      </c>
      <c r="E64" s="14"/>
      <c r="F64" s="12">
        <f t="shared" si="1"/>
        <v>0</v>
      </c>
    </row>
    <row r="65" spans="1:6" ht="20.25" thickTop="1" thickBot="1" x14ac:dyDescent="0.3">
      <c r="A65" s="6" t="s">
        <v>200</v>
      </c>
      <c r="B65" s="6"/>
      <c r="C65" s="6" t="s">
        <v>197</v>
      </c>
      <c r="D65" s="11">
        <v>5900</v>
      </c>
      <c r="E65" s="14"/>
      <c r="F65" s="12">
        <f t="shared" si="1"/>
        <v>0</v>
      </c>
    </row>
    <row r="66" spans="1:6" ht="20.25" thickTop="1" thickBot="1" x14ac:dyDescent="0.3">
      <c r="A66" s="6" t="s">
        <v>201</v>
      </c>
      <c r="B66" s="6"/>
      <c r="C66" s="6" t="s">
        <v>197</v>
      </c>
      <c r="D66" s="11">
        <v>6750</v>
      </c>
      <c r="E66" s="14"/>
      <c r="F66" s="12">
        <f t="shared" si="1"/>
        <v>0</v>
      </c>
    </row>
    <row r="67" spans="1:6" ht="20.25" thickTop="1" thickBot="1" x14ac:dyDescent="0.3">
      <c r="A67" s="6" t="s">
        <v>202</v>
      </c>
      <c r="B67" s="6"/>
      <c r="C67" s="6" t="s">
        <v>197</v>
      </c>
      <c r="D67" s="11">
        <v>7200</v>
      </c>
      <c r="E67" s="14"/>
      <c r="F67" s="12">
        <f t="shared" si="1"/>
        <v>0</v>
      </c>
    </row>
    <row r="68" spans="1:6" ht="20.25" thickTop="1" thickBot="1" x14ac:dyDescent="0.3">
      <c r="A68" s="53"/>
      <c r="B68" s="54"/>
      <c r="C68" s="54"/>
      <c r="D68" s="54"/>
      <c r="E68" s="54"/>
      <c r="F68" s="54"/>
    </row>
    <row r="69" spans="1:6" ht="20.25" thickTop="1" thickBot="1" x14ac:dyDescent="0.3">
      <c r="A69" s="6" t="s">
        <v>208</v>
      </c>
      <c r="B69" s="6"/>
      <c r="C69" s="6" t="s">
        <v>197</v>
      </c>
      <c r="D69" s="11">
        <v>6200</v>
      </c>
      <c r="E69" s="14"/>
      <c r="F69" s="12">
        <f t="shared" si="1"/>
        <v>0</v>
      </c>
    </row>
    <row r="70" spans="1:6" ht="20.25" thickTop="1" thickBot="1" x14ac:dyDescent="0.3">
      <c r="A70" s="6" t="s">
        <v>209</v>
      </c>
      <c r="B70" s="6"/>
      <c r="C70" s="6" t="s">
        <v>197</v>
      </c>
      <c r="D70" s="11">
        <v>6850</v>
      </c>
      <c r="E70" s="14"/>
      <c r="F70" s="12">
        <f t="shared" si="1"/>
        <v>0</v>
      </c>
    </row>
    <row r="71" spans="1:6" ht="20.25" thickTop="1" thickBot="1" x14ac:dyDescent="0.3">
      <c r="A71" s="6" t="s">
        <v>210</v>
      </c>
      <c r="B71" s="6"/>
      <c r="C71" s="6" t="s">
        <v>197</v>
      </c>
      <c r="D71" s="11">
        <v>7500</v>
      </c>
      <c r="E71" s="14"/>
      <c r="F71" s="12">
        <f t="shared" si="1"/>
        <v>0</v>
      </c>
    </row>
    <row r="72" spans="1:6" ht="20.25" thickTop="1" thickBot="1" x14ac:dyDescent="0.3">
      <c r="A72" s="6" t="s">
        <v>211</v>
      </c>
      <c r="B72" s="6"/>
      <c r="C72" s="6" t="s">
        <v>197</v>
      </c>
      <c r="D72" s="11">
        <v>8300</v>
      </c>
      <c r="E72" s="14"/>
      <c r="F72" s="12">
        <f t="shared" si="1"/>
        <v>0</v>
      </c>
    </row>
    <row r="73" spans="1:6" ht="20.25" thickTop="1" thickBot="1" x14ac:dyDescent="0.3">
      <c r="A73" s="6" t="s">
        <v>212</v>
      </c>
      <c r="B73" s="6"/>
      <c r="C73" s="6" t="s">
        <v>197</v>
      </c>
      <c r="D73" s="11">
        <v>8750</v>
      </c>
      <c r="E73" s="14"/>
      <c r="F73" s="12">
        <f t="shared" si="1"/>
        <v>0</v>
      </c>
    </row>
    <row r="74" spans="1:6" ht="20.25" thickTop="1" thickBot="1" x14ac:dyDescent="0.3">
      <c r="A74" s="53"/>
      <c r="B74" s="54"/>
      <c r="C74" s="54"/>
      <c r="D74" s="54"/>
      <c r="E74" s="54"/>
      <c r="F74" s="54"/>
    </row>
    <row r="75" spans="1:6" ht="20.25" thickTop="1" thickBot="1" x14ac:dyDescent="0.3">
      <c r="A75" s="6" t="s">
        <v>213</v>
      </c>
      <c r="B75" s="6"/>
      <c r="C75" s="6" t="s">
        <v>197</v>
      </c>
      <c r="D75" s="11">
        <v>7250</v>
      </c>
      <c r="E75" s="14"/>
      <c r="F75" s="12">
        <f t="shared" si="1"/>
        <v>0</v>
      </c>
    </row>
    <row r="76" spans="1:6" ht="20.25" thickTop="1" thickBot="1" x14ac:dyDescent="0.3">
      <c r="A76" s="6" t="s">
        <v>214</v>
      </c>
      <c r="B76" s="6"/>
      <c r="C76" s="6" t="s">
        <v>197</v>
      </c>
      <c r="D76" s="11">
        <v>7900</v>
      </c>
      <c r="E76" s="14"/>
      <c r="F76" s="12">
        <f t="shared" si="1"/>
        <v>0</v>
      </c>
    </row>
    <row r="77" spans="1:6" ht="20.25" thickTop="1" thickBot="1" x14ac:dyDescent="0.3">
      <c r="A77" s="6" t="s">
        <v>215</v>
      </c>
      <c r="B77" s="6"/>
      <c r="C77" s="6" t="s">
        <v>197</v>
      </c>
      <c r="D77" s="11">
        <v>8550</v>
      </c>
      <c r="E77" s="14"/>
      <c r="F77" s="12">
        <f t="shared" si="1"/>
        <v>0</v>
      </c>
    </row>
    <row r="78" spans="1:6" ht="20.25" thickTop="1" thickBot="1" x14ac:dyDescent="0.3">
      <c r="A78" s="6" t="s">
        <v>216</v>
      </c>
      <c r="B78" s="6"/>
      <c r="C78" s="6" t="s">
        <v>197</v>
      </c>
      <c r="D78" s="11">
        <v>9350</v>
      </c>
      <c r="E78" s="14"/>
      <c r="F78" s="12">
        <f t="shared" si="1"/>
        <v>0</v>
      </c>
    </row>
    <row r="79" spans="1:6" ht="20.25" thickTop="1" thickBot="1" x14ac:dyDescent="0.3">
      <c r="A79" s="6" t="s">
        <v>217</v>
      </c>
      <c r="B79" s="6"/>
      <c r="C79" s="6" t="s">
        <v>197</v>
      </c>
      <c r="D79" s="11">
        <v>9800</v>
      </c>
      <c r="E79" s="14"/>
      <c r="F79" s="12">
        <f t="shared" si="1"/>
        <v>0</v>
      </c>
    </row>
    <row r="80" spans="1:6" ht="20.25" thickTop="1" thickBot="1" x14ac:dyDescent="0.3">
      <c r="A80" s="6"/>
      <c r="B80" s="6"/>
      <c r="C80" s="6"/>
      <c r="D80" s="11"/>
      <c r="E80" s="14"/>
      <c r="F80" s="12"/>
    </row>
    <row r="81" spans="1:6" ht="20.25" thickTop="1" thickBot="1" x14ac:dyDescent="0.3">
      <c r="A81" s="44" t="s">
        <v>270</v>
      </c>
      <c r="B81" s="45"/>
      <c r="C81" s="45"/>
      <c r="D81" s="45"/>
      <c r="E81" s="45"/>
      <c r="F81" s="45"/>
    </row>
    <row r="82" spans="1:6" ht="20.25" customHeight="1" thickTop="1" thickBot="1" x14ac:dyDescent="0.3">
      <c r="A82" s="56" t="s">
        <v>293</v>
      </c>
      <c r="B82" s="57"/>
      <c r="C82" s="57"/>
      <c r="D82" s="57"/>
      <c r="E82" s="57"/>
      <c r="F82" s="57"/>
    </row>
    <row r="83" spans="1:6" ht="27.75" customHeight="1" thickTop="1" thickBot="1" x14ac:dyDescent="0.3">
      <c r="A83" s="6" t="s">
        <v>271</v>
      </c>
      <c r="B83" s="6"/>
      <c r="C83" s="6" t="s">
        <v>270</v>
      </c>
      <c r="D83" s="11">
        <v>4751</v>
      </c>
      <c r="E83" s="14"/>
      <c r="F83" s="12">
        <f t="shared" si="1"/>
        <v>0</v>
      </c>
    </row>
    <row r="84" spans="1:6" ht="41.25" customHeight="1" thickTop="1" thickBot="1" x14ac:dyDescent="0.3">
      <c r="A84" s="6" t="s">
        <v>272</v>
      </c>
      <c r="B84" s="6"/>
      <c r="C84" s="6" t="s">
        <v>270</v>
      </c>
      <c r="D84" s="11">
        <v>5250</v>
      </c>
      <c r="E84" s="14"/>
      <c r="F84" s="12">
        <f t="shared" si="1"/>
        <v>0</v>
      </c>
    </row>
    <row r="85" spans="1:6" ht="20.25" customHeight="1" thickTop="1" thickBot="1" x14ac:dyDescent="0.3">
      <c r="A85" s="6"/>
      <c r="B85" s="6"/>
      <c r="C85" s="6" t="s">
        <v>270</v>
      </c>
      <c r="D85" s="11"/>
      <c r="E85" s="14"/>
      <c r="F85" s="12">
        <f t="shared" si="1"/>
        <v>0</v>
      </c>
    </row>
    <row r="86" spans="1:6" ht="39" customHeight="1" thickTop="1" thickBot="1" x14ac:dyDescent="0.3">
      <c r="A86" s="6" t="s">
        <v>274</v>
      </c>
      <c r="B86" s="6"/>
      <c r="C86" s="6" t="s">
        <v>270</v>
      </c>
      <c r="D86" s="11">
        <v>5750</v>
      </c>
      <c r="E86" s="14">
        <v>0</v>
      </c>
      <c r="F86" s="12">
        <f t="shared" si="1"/>
        <v>0</v>
      </c>
    </row>
    <row r="87" spans="1:6" ht="34.5" customHeight="1" thickTop="1" thickBot="1" x14ac:dyDescent="0.3">
      <c r="A87" s="6" t="s">
        <v>273</v>
      </c>
      <c r="B87" s="6"/>
      <c r="C87" s="6" t="s">
        <v>270</v>
      </c>
      <c r="D87" s="11">
        <v>6250</v>
      </c>
      <c r="E87" s="14"/>
      <c r="F87" s="12">
        <f t="shared" si="1"/>
        <v>0</v>
      </c>
    </row>
    <row r="88" spans="1:6" ht="20.25" customHeight="1" thickTop="1" thickBot="1" x14ac:dyDescent="0.3">
      <c r="A88" s="6"/>
      <c r="B88" s="6"/>
      <c r="C88" s="6" t="s">
        <v>270</v>
      </c>
      <c r="D88" s="11"/>
      <c r="E88" s="14"/>
      <c r="F88" s="12">
        <f t="shared" si="1"/>
        <v>0</v>
      </c>
    </row>
    <row r="89" spans="1:6" ht="20.25" customHeight="1" thickTop="1" thickBot="1" x14ac:dyDescent="0.3">
      <c r="A89" s="6" t="s">
        <v>275</v>
      </c>
      <c r="B89" s="6"/>
      <c r="C89" s="6" t="s">
        <v>270</v>
      </c>
      <c r="D89" s="11">
        <v>6250</v>
      </c>
      <c r="E89" s="14"/>
      <c r="F89" s="12">
        <f t="shared" si="1"/>
        <v>0</v>
      </c>
    </row>
    <row r="90" spans="1:6" ht="20.25" customHeight="1" thickTop="1" thickBot="1" x14ac:dyDescent="0.3">
      <c r="A90" s="6" t="s">
        <v>276</v>
      </c>
      <c r="B90" s="6"/>
      <c r="C90" s="6" t="s">
        <v>270</v>
      </c>
      <c r="D90" s="11">
        <v>6750</v>
      </c>
      <c r="E90" s="14"/>
      <c r="F90" s="12">
        <f t="shared" si="1"/>
        <v>0</v>
      </c>
    </row>
    <row r="91" spans="1:6" ht="20.25" customHeight="1" thickTop="1" thickBot="1" x14ac:dyDescent="0.3">
      <c r="A91" s="6"/>
      <c r="B91" s="6"/>
      <c r="C91" s="6" t="s">
        <v>270</v>
      </c>
      <c r="D91" s="11"/>
      <c r="E91" s="14"/>
      <c r="F91" s="12">
        <f t="shared" si="1"/>
        <v>0</v>
      </c>
    </row>
    <row r="92" spans="1:6" ht="20.25" customHeight="1" thickTop="1" thickBot="1" x14ac:dyDescent="0.3">
      <c r="A92" s="6" t="s">
        <v>277</v>
      </c>
      <c r="B92" s="6"/>
      <c r="C92" s="6" t="s">
        <v>270</v>
      </c>
      <c r="D92" s="11">
        <v>5050</v>
      </c>
      <c r="E92" s="14"/>
      <c r="F92" s="12">
        <f t="shared" si="1"/>
        <v>0</v>
      </c>
    </row>
    <row r="93" spans="1:6" ht="20.25" customHeight="1" thickTop="1" thickBot="1" x14ac:dyDescent="0.3">
      <c r="A93" s="6" t="s">
        <v>278</v>
      </c>
      <c r="B93" s="6"/>
      <c r="C93" s="6" t="s">
        <v>270</v>
      </c>
      <c r="D93" s="11">
        <v>5550</v>
      </c>
      <c r="E93" s="14"/>
      <c r="F93" s="12">
        <f t="shared" si="1"/>
        <v>0</v>
      </c>
    </row>
    <row r="94" spans="1:6" ht="20.25" customHeight="1" thickTop="1" thickBot="1" x14ac:dyDescent="0.3">
      <c r="A94" s="6"/>
      <c r="B94" s="6"/>
      <c r="C94" s="6" t="s">
        <v>270</v>
      </c>
      <c r="D94" s="11"/>
      <c r="E94" s="14"/>
      <c r="F94" s="12">
        <f t="shared" si="1"/>
        <v>0</v>
      </c>
    </row>
    <row r="95" spans="1:6" ht="20.25" customHeight="1" thickTop="1" thickBot="1" x14ac:dyDescent="0.3">
      <c r="A95" s="6" t="s">
        <v>279</v>
      </c>
      <c r="B95" s="6"/>
      <c r="C95" s="6" t="s">
        <v>270</v>
      </c>
      <c r="D95" s="11">
        <v>6050</v>
      </c>
      <c r="E95" s="14"/>
      <c r="F95" s="12">
        <f t="shared" si="1"/>
        <v>0</v>
      </c>
    </row>
    <row r="96" spans="1:6" ht="20.25" customHeight="1" thickTop="1" thickBot="1" x14ac:dyDescent="0.3">
      <c r="A96" s="6" t="s">
        <v>280</v>
      </c>
      <c r="B96" s="6"/>
      <c r="C96" s="6" t="s">
        <v>270</v>
      </c>
      <c r="D96" s="11">
        <v>6550</v>
      </c>
      <c r="E96" s="14"/>
      <c r="F96" s="12">
        <f t="shared" si="1"/>
        <v>0</v>
      </c>
    </row>
    <row r="97" spans="1:6" ht="20.25" customHeight="1" thickTop="1" thickBot="1" x14ac:dyDescent="0.3">
      <c r="A97" s="6"/>
      <c r="B97" s="6"/>
      <c r="C97" s="6" t="s">
        <v>270</v>
      </c>
      <c r="D97" s="11"/>
      <c r="E97" s="14"/>
      <c r="F97" s="12">
        <f t="shared" si="1"/>
        <v>0</v>
      </c>
    </row>
    <row r="98" spans="1:6" ht="20.25" customHeight="1" thickTop="1" thickBot="1" x14ac:dyDescent="0.3">
      <c r="A98" s="6" t="s">
        <v>281</v>
      </c>
      <c r="B98" s="6"/>
      <c r="C98" s="6" t="s">
        <v>270</v>
      </c>
      <c r="D98" s="11">
        <v>6550</v>
      </c>
      <c r="E98" s="14"/>
      <c r="F98" s="12">
        <f t="shared" si="1"/>
        <v>0</v>
      </c>
    </row>
    <row r="99" spans="1:6" ht="20.25" customHeight="1" thickTop="1" thickBot="1" x14ac:dyDescent="0.3">
      <c r="A99" s="6" t="s">
        <v>282</v>
      </c>
      <c r="B99" s="6"/>
      <c r="C99" s="6" t="s">
        <v>270</v>
      </c>
      <c r="D99" s="11">
        <v>7050</v>
      </c>
      <c r="E99" s="14"/>
      <c r="F99" s="12">
        <f t="shared" si="1"/>
        <v>0</v>
      </c>
    </row>
    <row r="100" spans="1:6" ht="20.25" customHeight="1" thickTop="1" thickBot="1" x14ac:dyDescent="0.3">
      <c r="A100" s="6"/>
      <c r="B100" s="6"/>
      <c r="C100" s="6" t="s">
        <v>270</v>
      </c>
      <c r="D100" s="11"/>
      <c r="E100" s="14"/>
      <c r="F100" s="12">
        <f t="shared" si="1"/>
        <v>0</v>
      </c>
    </row>
    <row r="101" spans="1:6" ht="48.75" customHeight="1" thickTop="1" thickBot="1" x14ac:dyDescent="0.3">
      <c r="A101" s="6" t="s">
        <v>283</v>
      </c>
      <c r="B101" s="6"/>
      <c r="C101" s="6" t="s">
        <v>270</v>
      </c>
      <c r="D101" s="11">
        <v>7050</v>
      </c>
      <c r="E101" s="14"/>
      <c r="F101" s="12">
        <f t="shared" si="1"/>
        <v>0</v>
      </c>
    </row>
    <row r="102" spans="1:6" ht="41.25" customHeight="1" thickTop="1" thickBot="1" x14ac:dyDescent="0.3">
      <c r="A102" s="6" t="s">
        <v>284</v>
      </c>
      <c r="B102" s="6"/>
      <c r="C102" s="6" t="s">
        <v>270</v>
      </c>
      <c r="D102" s="11">
        <v>7550</v>
      </c>
      <c r="E102" s="14"/>
      <c r="F102" s="12">
        <f t="shared" si="1"/>
        <v>0</v>
      </c>
    </row>
    <row r="103" spans="1:6" ht="20.25" customHeight="1" thickTop="1" thickBot="1" x14ac:dyDescent="0.3">
      <c r="A103" s="6"/>
      <c r="B103" s="6"/>
      <c r="C103" s="6" t="s">
        <v>270</v>
      </c>
      <c r="D103" s="11"/>
      <c r="E103" s="14"/>
      <c r="F103" s="12">
        <f t="shared" si="1"/>
        <v>0</v>
      </c>
    </row>
    <row r="104" spans="1:6" ht="20.25" customHeight="1" thickTop="1" thickBot="1" x14ac:dyDescent="0.3">
      <c r="A104" s="6" t="s">
        <v>285</v>
      </c>
      <c r="B104" s="6"/>
      <c r="C104" s="6" t="s">
        <v>270</v>
      </c>
      <c r="D104" s="11">
        <v>5450</v>
      </c>
      <c r="E104" s="14"/>
      <c r="F104" s="12">
        <f t="shared" si="1"/>
        <v>0</v>
      </c>
    </row>
    <row r="105" spans="1:6" ht="42" customHeight="1" thickTop="1" thickBot="1" x14ac:dyDescent="0.3">
      <c r="A105" s="6" t="s">
        <v>286</v>
      </c>
      <c r="B105" s="6"/>
      <c r="C105" s="6" t="s">
        <v>270</v>
      </c>
      <c r="D105" s="11">
        <v>5950</v>
      </c>
      <c r="E105" s="14"/>
      <c r="F105" s="12">
        <f t="shared" si="1"/>
        <v>0</v>
      </c>
    </row>
    <row r="106" spans="1:6" ht="20.25" customHeight="1" thickTop="1" thickBot="1" x14ac:dyDescent="0.3">
      <c r="A106" s="6"/>
      <c r="B106" s="6"/>
      <c r="C106" s="6" t="s">
        <v>270</v>
      </c>
      <c r="D106" s="11"/>
      <c r="E106" s="14"/>
      <c r="F106" s="12">
        <f t="shared" si="1"/>
        <v>0</v>
      </c>
    </row>
    <row r="107" spans="1:6" ht="43.5" customHeight="1" thickTop="1" thickBot="1" x14ac:dyDescent="0.3">
      <c r="A107" s="6" t="s">
        <v>287</v>
      </c>
      <c r="B107" s="6"/>
      <c r="C107" s="6" t="s">
        <v>270</v>
      </c>
      <c r="D107" s="11">
        <v>6950</v>
      </c>
      <c r="E107" s="14"/>
      <c r="F107" s="12">
        <f t="shared" si="1"/>
        <v>0</v>
      </c>
    </row>
    <row r="108" spans="1:6" ht="34.5" customHeight="1" thickTop="1" thickBot="1" x14ac:dyDescent="0.3">
      <c r="A108" s="6" t="s">
        <v>288</v>
      </c>
      <c r="B108" s="6"/>
      <c r="C108" s="6" t="s">
        <v>270</v>
      </c>
      <c r="D108" s="11">
        <v>7450</v>
      </c>
      <c r="E108" s="14"/>
      <c r="F108" s="12">
        <f t="shared" si="1"/>
        <v>0</v>
      </c>
    </row>
    <row r="109" spans="1:6" ht="20.25" customHeight="1" thickTop="1" thickBot="1" x14ac:dyDescent="0.3">
      <c r="A109" s="56" t="s">
        <v>294</v>
      </c>
      <c r="B109" s="57"/>
      <c r="C109" s="57"/>
      <c r="D109" s="57"/>
      <c r="E109" s="57"/>
      <c r="F109" s="57"/>
    </row>
    <row r="110" spans="1:6" ht="20.25" customHeight="1" thickTop="1" thickBot="1" x14ac:dyDescent="0.3">
      <c r="A110" s="6" t="s">
        <v>289</v>
      </c>
      <c r="B110" s="6"/>
      <c r="C110" s="6" t="s">
        <v>270</v>
      </c>
      <c r="D110" s="11">
        <v>6700</v>
      </c>
      <c r="E110" s="14"/>
      <c r="F110" s="13">
        <f>D110*E110</f>
        <v>0</v>
      </c>
    </row>
    <row r="111" spans="1:6" ht="20.25" customHeight="1" thickTop="1" thickBot="1" x14ac:dyDescent="0.3">
      <c r="A111" s="6" t="s">
        <v>290</v>
      </c>
      <c r="B111" s="6"/>
      <c r="C111" s="6" t="s">
        <v>270</v>
      </c>
      <c r="D111" s="11">
        <v>6900</v>
      </c>
      <c r="E111" s="14"/>
      <c r="F111" s="13">
        <f>D111*E111</f>
        <v>0</v>
      </c>
    </row>
    <row r="112" spans="1:6" ht="20.25" customHeight="1" thickTop="1" thickBot="1" x14ac:dyDescent="0.3">
      <c r="A112" s="6" t="s">
        <v>291</v>
      </c>
      <c r="B112" s="6"/>
      <c r="C112" s="6" t="s">
        <v>270</v>
      </c>
      <c r="D112" s="11">
        <v>6300</v>
      </c>
      <c r="E112" s="14"/>
      <c r="F112" s="13">
        <f>D112*E112</f>
        <v>0</v>
      </c>
    </row>
    <row r="113" spans="1:6" ht="20.25" customHeight="1" thickTop="1" thickBot="1" x14ac:dyDescent="0.3">
      <c r="A113" s="6" t="s">
        <v>292</v>
      </c>
      <c r="B113" s="6"/>
      <c r="C113" s="6" t="s">
        <v>270</v>
      </c>
      <c r="D113" s="11">
        <v>6500</v>
      </c>
      <c r="E113" s="14"/>
      <c r="F113" s="13">
        <f>D113*E113</f>
        <v>0</v>
      </c>
    </row>
    <row r="114" spans="1:6" ht="20.25" customHeight="1" thickTop="1" thickBot="1" x14ac:dyDescent="0.3">
      <c r="A114" s="56" t="s">
        <v>295</v>
      </c>
      <c r="B114" s="57"/>
      <c r="C114" s="57"/>
      <c r="D114" s="57"/>
      <c r="E114" s="57"/>
      <c r="F114" s="57"/>
    </row>
    <row r="115" spans="1:6" ht="20.25" customHeight="1" thickTop="1" thickBot="1" x14ac:dyDescent="0.3">
      <c r="A115" s="6" t="s">
        <v>296</v>
      </c>
      <c r="B115" s="6"/>
      <c r="C115" s="6" t="s">
        <v>270</v>
      </c>
      <c r="D115" s="11">
        <v>13200</v>
      </c>
      <c r="E115" s="14"/>
      <c r="F115" s="13">
        <f>E115*D115</f>
        <v>0</v>
      </c>
    </row>
    <row r="116" spans="1:6" ht="39" thickTop="1" thickBot="1" x14ac:dyDescent="0.3">
      <c r="A116" s="6" t="s">
        <v>297</v>
      </c>
      <c r="B116" s="6"/>
      <c r="C116" s="6" t="s">
        <v>270</v>
      </c>
      <c r="D116" s="11">
        <v>16000</v>
      </c>
      <c r="E116" s="14"/>
      <c r="F116" s="13">
        <f t="shared" ref="F116:F121" si="3">E116*D116</f>
        <v>0</v>
      </c>
    </row>
    <row r="117" spans="1:6" ht="132.75" thickTop="1" thickBot="1" x14ac:dyDescent="0.3">
      <c r="A117" s="6" t="s">
        <v>298</v>
      </c>
      <c r="B117" s="6"/>
      <c r="C117" s="6" t="s">
        <v>270</v>
      </c>
      <c r="D117" s="11">
        <v>16220</v>
      </c>
      <c r="E117" s="14"/>
      <c r="F117" s="13">
        <f t="shared" si="3"/>
        <v>0</v>
      </c>
    </row>
    <row r="118" spans="1:6" ht="20.25" thickTop="1" thickBot="1" x14ac:dyDescent="0.3">
      <c r="A118" s="6" t="s">
        <v>299</v>
      </c>
      <c r="B118" s="6"/>
      <c r="C118" s="6" t="s">
        <v>270</v>
      </c>
      <c r="D118" s="11">
        <v>16850</v>
      </c>
      <c r="E118" s="14"/>
      <c r="F118" s="13">
        <f t="shared" si="3"/>
        <v>0</v>
      </c>
    </row>
    <row r="119" spans="1:6" ht="57.75" thickTop="1" thickBot="1" x14ac:dyDescent="0.3">
      <c r="A119" s="6" t="s">
        <v>300</v>
      </c>
      <c r="B119" s="6"/>
      <c r="C119" s="6" t="s">
        <v>270</v>
      </c>
      <c r="D119" s="11">
        <v>17160</v>
      </c>
      <c r="E119" s="14"/>
      <c r="F119" s="13">
        <f t="shared" si="3"/>
        <v>0</v>
      </c>
    </row>
    <row r="120" spans="1:6" ht="39" thickTop="1" thickBot="1" x14ac:dyDescent="0.3">
      <c r="A120" s="6" t="s">
        <v>301</v>
      </c>
      <c r="B120" s="6"/>
      <c r="C120" s="6" t="s">
        <v>270</v>
      </c>
      <c r="D120" s="11">
        <v>17520</v>
      </c>
      <c r="E120" s="14"/>
      <c r="F120" s="13">
        <f t="shared" si="3"/>
        <v>0</v>
      </c>
    </row>
    <row r="121" spans="1:6" ht="20.25" thickTop="1" thickBot="1" x14ac:dyDescent="0.3">
      <c r="A121" s="6" t="s">
        <v>302</v>
      </c>
      <c r="B121" s="6"/>
      <c r="C121" s="6" t="s">
        <v>270</v>
      </c>
      <c r="D121" s="11">
        <v>20180</v>
      </c>
      <c r="E121" s="14"/>
      <c r="F121" s="13">
        <f t="shared" si="3"/>
        <v>0</v>
      </c>
    </row>
    <row r="122" spans="1:6" ht="22.5" thickTop="1" thickBot="1" x14ac:dyDescent="0.3">
      <c r="A122" s="49" t="s">
        <v>232</v>
      </c>
      <c r="B122" s="50"/>
      <c r="C122" s="50"/>
      <c r="D122" s="50"/>
      <c r="E122" s="50"/>
      <c r="F122" s="50"/>
    </row>
    <row r="123" spans="1:6" ht="20.25" thickTop="1" thickBot="1" x14ac:dyDescent="0.3">
      <c r="A123" s="6" t="s">
        <v>219</v>
      </c>
      <c r="B123" s="6"/>
      <c r="C123" s="6" t="s">
        <v>218</v>
      </c>
      <c r="D123" s="11">
        <v>9600</v>
      </c>
      <c r="E123" s="14"/>
      <c r="F123" s="12">
        <f t="shared" si="1"/>
        <v>0</v>
      </c>
    </row>
    <row r="124" spans="1:6" ht="20.25" thickTop="1" thickBot="1" x14ac:dyDescent="0.3">
      <c r="A124" s="6" t="s">
        <v>220</v>
      </c>
      <c r="B124" s="6"/>
      <c r="C124" s="6" t="s">
        <v>218</v>
      </c>
      <c r="D124" s="11">
        <v>14400</v>
      </c>
      <c r="E124" s="14"/>
      <c r="F124" s="12">
        <f t="shared" si="1"/>
        <v>0</v>
      </c>
    </row>
    <row r="125" spans="1:6" ht="20.25" thickTop="1" thickBot="1" x14ac:dyDescent="0.3">
      <c r="A125" s="6" t="s">
        <v>221</v>
      </c>
      <c r="B125" s="6"/>
      <c r="C125" s="6" t="s">
        <v>218</v>
      </c>
      <c r="D125" s="11">
        <v>14500</v>
      </c>
      <c r="E125" s="14"/>
      <c r="F125" s="12">
        <f t="shared" si="1"/>
        <v>0</v>
      </c>
    </row>
    <row r="126" spans="1:6" ht="39" thickTop="1" thickBot="1" x14ac:dyDescent="0.3">
      <c r="A126" s="6" t="s">
        <v>225</v>
      </c>
      <c r="B126" s="6"/>
      <c r="C126" s="6" t="s">
        <v>218</v>
      </c>
      <c r="D126" s="11">
        <v>17400</v>
      </c>
      <c r="E126" s="14"/>
      <c r="F126" s="12">
        <f t="shared" si="1"/>
        <v>0</v>
      </c>
    </row>
    <row r="127" spans="1:6" ht="20.25" thickTop="1" thickBot="1" x14ac:dyDescent="0.3">
      <c r="A127" s="6" t="s">
        <v>222</v>
      </c>
      <c r="B127" s="6"/>
      <c r="C127" s="6" t="s">
        <v>218</v>
      </c>
      <c r="D127" s="11">
        <v>0</v>
      </c>
      <c r="E127" s="14"/>
      <c r="F127" s="12">
        <f t="shared" si="1"/>
        <v>0</v>
      </c>
    </row>
    <row r="128" spans="1:6" ht="20.25" thickTop="1" thickBot="1" x14ac:dyDescent="0.3">
      <c r="A128" s="6" t="s">
        <v>223</v>
      </c>
      <c r="B128" s="6"/>
      <c r="C128" s="6" t="s">
        <v>218</v>
      </c>
      <c r="D128" s="11">
        <v>0</v>
      </c>
      <c r="E128" s="14"/>
      <c r="F128" s="12">
        <f t="shared" si="1"/>
        <v>0</v>
      </c>
    </row>
    <row r="129" spans="1:6" ht="20.25" thickTop="1" thickBot="1" x14ac:dyDescent="0.3">
      <c r="A129" s="6" t="s">
        <v>224</v>
      </c>
      <c r="B129" s="6"/>
      <c r="C129" s="6" t="s">
        <v>218</v>
      </c>
      <c r="D129" s="11">
        <v>0</v>
      </c>
      <c r="E129" s="14"/>
      <c r="F129" s="12">
        <f t="shared" si="1"/>
        <v>0</v>
      </c>
    </row>
    <row r="130" spans="1:6" ht="39" thickTop="1" thickBot="1" x14ac:dyDescent="0.3">
      <c r="A130" s="6" t="s">
        <v>226</v>
      </c>
      <c r="B130" s="6"/>
      <c r="C130" s="6" t="s">
        <v>218</v>
      </c>
      <c r="D130" s="11">
        <v>0</v>
      </c>
      <c r="E130" s="14"/>
      <c r="F130" s="12">
        <f t="shared" si="1"/>
        <v>0</v>
      </c>
    </row>
    <row r="131" spans="1:6" ht="20.25" thickTop="1" thickBot="1" x14ac:dyDescent="0.3">
      <c r="A131" s="6" t="s">
        <v>313</v>
      </c>
      <c r="B131" s="6"/>
      <c r="C131" s="6" t="s">
        <v>218</v>
      </c>
      <c r="D131" s="11">
        <v>80000</v>
      </c>
      <c r="E131" s="14"/>
      <c r="F131" s="13">
        <f t="shared" si="1"/>
        <v>0</v>
      </c>
    </row>
    <row r="132" spans="1:6" ht="24.75" thickTop="1" thickBot="1" x14ac:dyDescent="0.3">
      <c r="A132" s="46" t="s">
        <v>140</v>
      </c>
      <c r="B132" s="47"/>
      <c r="C132" s="47"/>
      <c r="D132" s="47"/>
      <c r="E132" s="47"/>
      <c r="F132" s="47"/>
    </row>
    <row r="133" spans="1:6" ht="20.25" thickTop="1" thickBot="1" x14ac:dyDescent="0.3">
      <c r="A133" s="6" t="s">
        <v>140</v>
      </c>
      <c r="B133" s="6"/>
      <c r="C133" s="6"/>
      <c r="D133" s="11">
        <v>11000</v>
      </c>
      <c r="E133" s="14">
        <v>2</v>
      </c>
      <c r="F133" s="13">
        <f>D133*E133</f>
        <v>22000</v>
      </c>
    </row>
    <row r="134" spans="1:6" ht="22.5" thickTop="1" thickBot="1" x14ac:dyDescent="0.3">
      <c r="A134" s="58" t="s">
        <v>309</v>
      </c>
      <c r="B134" s="59"/>
      <c r="C134" s="59"/>
      <c r="D134" s="59"/>
      <c r="E134" s="59"/>
      <c r="F134" s="60"/>
    </row>
    <row r="135" spans="1:6" ht="20.25" thickTop="1" thickBot="1" x14ac:dyDescent="0.3">
      <c r="A135" s="6" t="s">
        <v>159</v>
      </c>
      <c r="B135" s="6"/>
      <c r="C135" s="6"/>
      <c r="D135" s="11">
        <v>4250</v>
      </c>
      <c r="E135" s="28"/>
      <c r="F135" s="12">
        <f>D135*E135</f>
        <v>0</v>
      </c>
    </row>
    <row r="136" spans="1:6" ht="20.25" thickTop="1" thickBot="1" x14ac:dyDescent="0.3">
      <c r="A136" s="6" t="s">
        <v>160</v>
      </c>
      <c r="B136" s="6"/>
      <c r="C136" s="6"/>
      <c r="D136" s="11">
        <v>2000</v>
      </c>
      <c r="E136" s="28"/>
      <c r="F136" s="12">
        <f>D136*E136</f>
        <v>0</v>
      </c>
    </row>
    <row r="137" spans="1:6" ht="20.25" thickTop="1" thickBot="1" x14ac:dyDescent="0.3">
      <c r="A137" s="6" t="s">
        <v>161</v>
      </c>
      <c r="B137" s="6"/>
      <c r="C137" s="6"/>
      <c r="D137" s="11">
        <v>2500</v>
      </c>
      <c r="E137" s="28">
        <v>0</v>
      </c>
      <c r="F137" s="12">
        <f>D137*E137</f>
        <v>0</v>
      </c>
    </row>
    <row r="138" spans="1:6" ht="20.25" thickTop="1" thickBot="1" x14ac:dyDescent="0.3">
      <c r="A138" s="6" t="s">
        <v>310</v>
      </c>
      <c r="B138" s="6"/>
      <c r="C138" s="6"/>
      <c r="D138" s="11"/>
      <c r="E138" s="28"/>
      <c r="F138" s="13"/>
    </row>
    <row r="139" spans="1:6" ht="20.25" thickTop="1" thickBot="1" x14ac:dyDescent="0.3">
      <c r="A139" s="6" t="s">
        <v>311</v>
      </c>
      <c r="B139" s="6"/>
      <c r="C139" s="6"/>
      <c r="D139" s="11"/>
      <c r="E139" s="28"/>
      <c r="F139" s="13"/>
    </row>
    <row r="140" spans="1:6" ht="20.25" thickTop="1" thickBot="1" x14ac:dyDescent="0.3">
      <c r="A140" s="6" t="s">
        <v>312</v>
      </c>
      <c r="B140" s="6"/>
      <c r="C140" s="6"/>
      <c r="D140" s="11"/>
      <c r="E140" s="28"/>
      <c r="F140" s="13"/>
    </row>
    <row r="141" spans="1:6" ht="24.75" thickTop="1" thickBot="1" x14ac:dyDescent="0.3">
      <c r="A141" s="46" t="s">
        <v>37</v>
      </c>
      <c r="B141" s="47"/>
      <c r="C141" s="47"/>
      <c r="D141" s="47"/>
      <c r="E141" s="47"/>
      <c r="F141" s="48"/>
    </row>
    <row r="142" spans="1:6" ht="22.5" thickTop="1" thickBot="1" x14ac:dyDescent="0.3">
      <c r="A142" s="49" t="s">
        <v>46</v>
      </c>
      <c r="B142" s="50"/>
      <c r="C142" s="50"/>
      <c r="D142" s="50"/>
      <c r="E142" s="50"/>
      <c r="F142" s="55"/>
    </row>
    <row r="143" spans="1:6" ht="20.25" thickTop="1" thickBot="1" x14ac:dyDescent="0.3">
      <c r="A143" s="6" t="s">
        <v>325</v>
      </c>
      <c r="B143" s="6"/>
      <c r="C143" s="6" t="s">
        <v>189</v>
      </c>
      <c r="D143" s="11">
        <v>165</v>
      </c>
      <c r="E143" s="14">
        <v>30</v>
      </c>
      <c r="F143" s="12">
        <f>D143*E143</f>
        <v>4950</v>
      </c>
    </row>
    <row r="144" spans="1:6" ht="20.25" thickTop="1" thickBot="1" x14ac:dyDescent="0.3">
      <c r="A144" s="6" t="s">
        <v>330</v>
      </c>
      <c r="B144" s="6"/>
      <c r="C144" s="6" t="s">
        <v>189</v>
      </c>
      <c r="D144" s="11">
        <v>165</v>
      </c>
      <c r="E144" s="14"/>
      <c r="F144" s="12">
        <f>D144*E144</f>
        <v>0</v>
      </c>
    </row>
    <row r="145" spans="1:6" ht="20.25" thickTop="1" thickBot="1" x14ac:dyDescent="0.3">
      <c r="A145" s="6" t="s">
        <v>326</v>
      </c>
      <c r="B145" s="6"/>
      <c r="C145" s="6" t="s">
        <v>189</v>
      </c>
      <c r="D145" s="11">
        <v>145</v>
      </c>
      <c r="E145" s="14">
        <v>0</v>
      </c>
      <c r="F145" s="12"/>
    </row>
    <row r="146" spans="1:6" ht="20.25" thickTop="1" thickBot="1" x14ac:dyDescent="0.3">
      <c r="A146" s="6" t="s">
        <v>327</v>
      </c>
      <c r="B146" s="6"/>
      <c r="C146" s="6" t="s">
        <v>189</v>
      </c>
      <c r="D146" s="11">
        <v>310</v>
      </c>
      <c r="E146" s="14"/>
      <c r="F146" s="12">
        <f>D146*E146</f>
        <v>0</v>
      </c>
    </row>
    <row r="147" spans="1:6" ht="39" thickTop="1" thickBot="1" x14ac:dyDescent="0.3">
      <c r="A147" s="6" t="s">
        <v>328</v>
      </c>
      <c r="B147" s="6"/>
      <c r="C147" s="6" t="s">
        <v>189</v>
      </c>
      <c r="D147" s="11">
        <v>170</v>
      </c>
      <c r="E147" s="14"/>
      <c r="F147" s="12"/>
    </row>
    <row r="148" spans="1:6" ht="39" thickTop="1" thickBot="1" x14ac:dyDescent="0.3">
      <c r="A148" s="6" t="s">
        <v>329</v>
      </c>
      <c r="B148" s="6"/>
      <c r="C148" s="6" t="s">
        <v>189</v>
      </c>
      <c r="D148" s="11">
        <v>157</v>
      </c>
      <c r="E148" s="14">
        <v>10</v>
      </c>
      <c r="F148" s="12"/>
    </row>
    <row r="149" spans="1:6" ht="39" thickTop="1" thickBot="1" x14ac:dyDescent="0.3">
      <c r="A149" s="6" t="s">
        <v>78</v>
      </c>
      <c r="B149" s="6"/>
      <c r="C149" s="6" t="s">
        <v>189</v>
      </c>
      <c r="D149" s="11">
        <v>150</v>
      </c>
      <c r="E149" s="14"/>
      <c r="F149" s="12">
        <f>D149*E149</f>
        <v>0</v>
      </c>
    </row>
    <row r="150" spans="1:6" ht="22.5" thickTop="1" thickBot="1" x14ac:dyDescent="0.3">
      <c r="A150" s="49" t="s">
        <v>45</v>
      </c>
      <c r="B150" s="50"/>
      <c r="C150" s="50"/>
      <c r="D150" s="50"/>
      <c r="E150" s="50"/>
      <c r="F150" s="55"/>
    </row>
    <row r="151" spans="1:6" ht="20.25" thickTop="1" thickBot="1" x14ac:dyDescent="0.3">
      <c r="A151" s="6" t="s">
        <v>331</v>
      </c>
      <c r="B151" s="6"/>
      <c r="C151" s="6" t="s">
        <v>189</v>
      </c>
      <c r="D151" s="11">
        <v>490</v>
      </c>
      <c r="E151" s="14">
        <v>0</v>
      </c>
      <c r="F151" s="12">
        <f>D151*E151</f>
        <v>0</v>
      </c>
    </row>
    <row r="152" spans="1:6" ht="20.25" thickTop="1" thickBot="1" x14ac:dyDescent="0.3">
      <c r="A152" s="6" t="s">
        <v>332</v>
      </c>
      <c r="B152" s="6"/>
      <c r="C152" s="6" t="s">
        <v>189</v>
      </c>
      <c r="D152" s="11">
        <v>584</v>
      </c>
      <c r="E152" s="14"/>
      <c r="F152" s="12">
        <f t="shared" ref="F152:F158" si="4">D152*E152</f>
        <v>0</v>
      </c>
    </row>
    <row r="153" spans="1:6" ht="20.25" thickTop="1" thickBot="1" x14ac:dyDescent="0.3">
      <c r="A153" s="6" t="s">
        <v>333</v>
      </c>
      <c r="B153" s="6"/>
      <c r="C153" s="6" t="s">
        <v>189</v>
      </c>
      <c r="D153" s="11">
        <v>590</v>
      </c>
      <c r="E153" s="14"/>
      <c r="F153" s="12">
        <f t="shared" si="4"/>
        <v>0</v>
      </c>
    </row>
    <row r="154" spans="1:6" ht="20.25" thickTop="1" thickBot="1" x14ac:dyDescent="0.3">
      <c r="A154" s="6" t="s">
        <v>334</v>
      </c>
      <c r="B154" s="6"/>
      <c r="C154" s="6" t="s">
        <v>189</v>
      </c>
      <c r="D154" s="11">
        <v>951</v>
      </c>
      <c r="E154" s="14"/>
      <c r="F154" s="12">
        <f t="shared" si="4"/>
        <v>0</v>
      </c>
    </row>
    <row r="155" spans="1:6" ht="20.25" thickTop="1" thickBot="1" x14ac:dyDescent="0.3">
      <c r="A155" s="6" t="s">
        <v>335</v>
      </c>
      <c r="B155" s="6"/>
      <c r="C155" s="6" t="s">
        <v>189</v>
      </c>
      <c r="D155" s="11">
        <v>975</v>
      </c>
      <c r="E155" s="14"/>
      <c r="F155" s="12">
        <f t="shared" si="4"/>
        <v>0</v>
      </c>
    </row>
    <row r="156" spans="1:6" ht="20.25" thickTop="1" thickBot="1" x14ac:dyDescent="0.3">
      <c r="A156" s="6" t="s">
        <v>336</v>
      </c>
      <c r="B156" s="6"/>
      <c r="C156" s="6" t="s">
        <v>189</v>
      </c>
      <c r="D156" s="11">
        <v>1701</v>
      </c>
      <c r="E156" s="28">
        <v>0</v>
      </c>
      <c r="F156" s="12">
        <f t="shared" si="4"/>
        <v>0</v>
      </c>
    </row>
    <row r="157" spans="1:6" ht="39" thickTop="1" thickBot="1" x14ac:dyDescent="0.3">
      <c r="A157" s="6" t="s">
        <v>337</v>
      </c>
      <c r="B157" s="6"/>
      <c r="C157" s="6" t="s">
        <v>189</v>
      </c>
      <c r="D157" s="11">
        <v>462</v>
      </c>
      <c r="E157" s="28"/>
      <c r="F157" s="12">
        <f t="shared" si="4"/>
        <v>0</v>
      </c>
    </row>
    <row r="158" spans="1:6" ht="39" thickTop="1" thickBot="1" x14ac:dyDescent="0.3">
      <c r="A158" s="6" t="s">
        <v>338</v>
      </c>
      <c r="B158" s="6"/>
      <c r="C158" s="6" t="s">
        <v>189</v>
      </c>
      <c r="D158" s="11">
        <v>589</v>
      </c>
      <c r="E158" s="14">
        <v>0</v>
      </c>
      <c r="F158" s="12">
        <f t="shared" si="4"/>
        <v>0</v>
      </c>
    </row>
    <row r="159" spans="1:6" ht="24.75" thickTop="1" thickBot="1" x14ac:dyDescent="0.3">
      <c r="A159" s="61" t="s">
        <v>233</v>
      </c>
      <c r="B159" s="62"/>
      <c r="C159" s="62"/>
      <c r="D159" s="62"/>
      <c r="E159" s="62"/>
      <c r="F159" s="62"/>
    </row>
    <row r="160" spans="1:6" ht="20.25" thickTop="1" thickBot="1" x14ac:dyDescent="0.3">
      <c r="A160" s="6" t="s">
        <v>234</v>
      </c>
      <c r="B160" s="6"/>
      <c r="C160" s="6" t="s">
        <v>260</v>
      </c>
      <c r="D160" s="11">
        <v>357</v>
      </c>
      <c r="E160" s="14"/>
      <c r="F160" s="13">
        <f>E160*D160</f>
        <v>0</v>
      </c>
    </row>
    <row r="161" spans="1:6" ht="20.25" thickTop="1" thickBot="1" x14ac:dyDescent="0.3">
      <c r="A161" s="6" t="s">
        <v>235</v>
      </c>
      <c r="B161" s="6"/>
      <c r="C161" s="6" t="s">
        <v>260</v>
      </c>
      <c r="D161" s="11">
        <v>407</v>
      </c>
      <c r="E161" s="14"/>
      <c r="F161" s="13">
        <f t="shared" ref="F161:F168" si="5">E161*D161</f>
        <v>0</v>
      </c>
    </row>
    <row r="162" spans="1:6" ht="20.25" thickTop="1" thickBot="1" x14ac:dyDescent="0.3">
      <c r="A162" s="6" t="s">
        <v>236</v>
      </c>
      <c r="B162" s="6"/>
      <c r="C162" s="6" t="s">
        <v>260</v>
      </c>
      <c r="D162" s="11">
        <v>427</v>
      </c>
      <c r="E162" s="14"/>
      <c r="F162" s="13">
        <f t="shared" si="5"/>
        <v>0</v>
      </c>
    </row>
    <row r="163" spans="1:6" ht="20.25" thickTop="1" thickBot="1" x14ac:dyDescent="0.3">
      <c r="A163" s="6" t="s">
        <v>237</v>
      </c>
      <c r="B163" s="6"/>
      <c r="C163" s="6" t="s">
        <v>260</v>
      </c>
      <c r="D163" s="11">
        <v>603</v>
      </c>
      <c r="E163" s="14"/>
      <c r="F163" s="13">
        <f t="shared" si="5"/>
        <v>0</v>
      </c>
    </row>
    <row r="164" spans="1:6" ht="20.25" thickTop="1" thickBot="1" x14ac:dyDescent="0.3">
      <c r="A164" s="6" t="s">
        <v>238</v>
      </c>
      <c r="B164" s="6"/>
      <c r="C164" s="6" t="s">
        <v>260</v>
      </c>
      <c r="D164" s="11">
        <v>784</v>
      </c>
      <c r="E164" s="14"/>
      <c r="F164" s="13">
        <f t="shared" si="5"/>
        <v>0</v>
      </c>
    </row>
    <row r="165" spans="1:6" ht="20.25" thickTop="1" thickBot="1" x14ac:dyDescent="0.3">
      <c r="A165" s="6" t="s">
        <v>239</v>
      </c>
      <c r="B165" s="6"/>
      <c r="C165" s="6" t="s">
        <v>260</v>
      </c>
      <c r="D165" s="11">
        <v>172</v>
      </c>
      <c r="E165" s="14"/>
      <c r="F165" s="13">
        <f t="shared" si="5"/>
        <v>0</v>
      </c>
    </row>
    <row r="166" spans="1:6" ht="20.25" thickTop="1" thickBot="1" x14ac:dyDescent="0.3">
      <c r="A166" s="6" t="s">
        <v>240</v>
      </c>
      <c r="B166" s="6"/>
      <c r="C166" s="6" t="s">
        <v>260</v>
      </c>
      <c r="D166" s="11">
        <v>653</v>
      </c>
      <c r="E166" s="14"/>
      <c r="F166" s="13">
        <f t="shared" si="5"/>
        <v>0</v>
      </c>
    </row>
    <row r="167" spans="1:6" ht="20.25" thickTop="1" thickBot="1" x14ac:dyDescent="0.3">
      <c r="A167" s="6" t="s">
        <v>241</v>
      </c>
      <c r="B167" s="6"/>
      <c r="C167" s="6" t="s">
        <v>260</v>
      </c>
      <c r="D167" s="11">
        <v>535</v>
      </c>
      <c r="E167" s="14"/>
      <c r="F167" s="13">
        <f t="shared" si="5"/>
        <v>0</v>
      </c>
    </row>
    <row r="168" spans="1:6" ht="20.25" thickTop="1" thickBot="1" x14ac:dyDescent="0.3">
      <c r="A168" s="6" t="s">
        <v>242</v>
      </c>
      <c r="B168" s="6"/>
      <c r="C168" s="6" t="s">
        <v>260</v>
      </c>
      <c r="D168" s="11">
        <v>523</v>
      </c>
      <c r="E168" s="14"/>
      <c r="F168" s="13">
        <f t="shared" si="5"/>
        <v>0</v>
      </c>
    </row>
    <row r="169" spans="1:6" ht="22.5" thickTop="1" thickBot="1" x14ac:dyDescent="0.3">
      <c r="A169" s="49" t="s">
        <v>47</v>
      </c>
      <c r="B169" s="50"/>
      <c r="C169" s="50"/>
      <c r="D169" s="50"/>
      <c r="E169" s="50"/>
      <c r="F169" s="55"/>
    </row>
    <row r="170" spans="1:6" ht="20.25" thickTop="1" thickBot="1" x14ac:dyDescent="0.3">
      <c r="A170" s="6" t="s">
        <v>339</v>
      </c>
      <c r="B170" s="6"/>
      <c r="C170" s="6" t="s">
        <v>189</v>
      </c>
      <c r="D170" s="11">
        <v>14000</v>
      </c>
      <c r="E170" s="14"/>
      <c r="F170" s="12">
        <f>D170*E170</f>
        <v>0</v>
      </c>
    </row>
    <row r="171" spans="1:6" ht="57.75" thickTop="1" thickBot="1" x14ac:dyDescent="0.3">
      <c r="A171" s="6" t="s">
        <v>340</v>
      </c>
      <c r="B171" s="6"/>
      <c r="C171" s="6" t="s">
        <v>189</v>
      </c>
      <c r="D171" s="11">
        <v>2311</v>
      </c>
      <c r="E171" s="14"/>
      <c r="F171" s="12">
        <f t="shared" ref="F171:F178" si="6">D171*E171</f>
        <v>0</v>
      </c>
    </row>
    <row r="172" spans="1:6" ht="39" thickTop="1" thickBot="1" x14ac:dyDescent="0.3">
      <c r="A172" s="6" t="s">
        <v>342</v>
      </c>
      <c r="B172" s="6"/>
      <c r="C172" s="6" t="s">
        <v>189</v>
      </c>
      <c r="D172" s="11">
        <v>3869</v>
      </c>
      <c r="E172" s="14"/>
      <c r="F172" s="12"/>
    </row>
    <row r="173" spans="1:6" ht="39" thickTop="1" thickBot="1" x14ac:dyDescent="0.3">
      <c r="A173" s="6" t="s">
        <v>341</v>
      </c>
      <c r="B173" s="6"/>
      <c r="C173" s="6" t="s">
        <v>189</v>
      </c>
      <c r="D173" s="11">
        <v>3000</v>
      </c>
      <c r="E173" s="14"/>
      <c r="F173" s="12"/>
    </row>
    <row r="174" spans="1:6" ht="39" thickTop="1" thickBot="1" x14ac:dyDescent="0.3">
      <c r="A174" s="6" t="s">
        <v>343</v>
      </c>
      <c r="B174" s="6"/>
      <c r="C174" s="6" t="s">
        <v>189</v>
      </c>
      <c r="D174" s="11">
        <v>4683</v>
      </c>
      <c r="E174" s="14"/>
      <c r="F174" s="12">
        <f t="shared" si="6"/>
        <v>0</v>
      </c>
    </row>
    <row r="175" spans="1:6" ht="32.25" customHeight="1" thickTop="1" thickBot="1" x14ac:dyDescent="0.3">
      <c r="A175" s="6" t="s">
        <v>344</v>
      </c>
      <c r="B175" s="6"/>
      <c r="C175" s="6" t="s">
        <v>189</v>
      </c>
      <c r="D175" s="11">
        <v>3700</v>
      </c>
      <c r="E175" s="14"/>
      <c r="F175" s="12">
        <f t="shared" si="6"/>
        <v>0</v>
      </c>
    </row>
    <row r="176" spans="1:6" ht="39" customHeight="1" thickTop="1" thickBot="1" x14ac:dyDescent="0.3">
      <c r="A176" s="6" t="s">
        <v>345</v>
      </c>
      <c r="B176" s="6"/>
      <c r="C176" s="6" t="s">
        <v>189</v>
      </c>
      <c r="D176" s="11">
        <v>4700</v>
      </c>
      <c r="E176" s="14"/>
      <c r="F176" s="12">
        <f t="shared" si="6"/>
        <v>0</v>
      </c>
    </row>
    <row r="177" spans="1:6" ht="57.75" thickTop="1" thickBot="1" x14ac:dyDescent="0.3">
      <c r="A177" s="6" t="s">
        <v>346</v>
      </c>
      <c r="B177" s="6"/>
      <c r="C177" s="6" t="s">
        <v>189</v>
      </c>
      <c r="D177" s="11">
        <v>7600</v>
      </c>
      <c r="E177" s="14"/>
      <c r="F177" s="12">
        <f t="shared" si="6"/>
        <v>0</v>
      </c>
    </row>
    <row r="178" spans="1:6" ht="39" thickTop="1" thickBot="1" x14ac:dyDescent="0.3">
      <c r="A178" s="6" t="s">
        <v>347</v>
      </c>
      <c r="B178" s="6"/>
      <c r="C178" s="6" t="s">
        <v>189</v>
      </c>
      <c r="D178" s="11">
        <v>9300</v>
      </c>
      <c r="E178" s="14"/>
      <c r="F178" s="12">
        <f t="shared" si="6"/>
        <v>0</v>
      </c>
    </row>
    <row r="179" spans="1:6" ht="22.5" thickTop="1" thickBot="1" x14ac:dyDescent="0.3">
      <c r="A179" s="49" t="s">
        <v>48</v>
      </c>
      <c r="B179" s="50"/>
      <c r="C179" s="50"/>
      <c r="D179" s="50"/>
      <c r="E179" s="50"/>
      <c r="F179" s="55"/>
    </row>
    <row r="180" spans="1:6" ht="20.25" thickTop="1" thickBot="1" x14ac:dyDescent="0.3">
      <c r="A180" s="6" t="s">
        <v>113</v>
      </c>
      <c r="B180" s="6"/>
      <c r="C180" s="6" t="s">
        <v>260</v>
      </c>
      <c r="D180" s="11">
        <v>8203</v>
      </c>
      <c r="E180" s="14"/>
      <c r="F180" s="12">
        <f>D180*E180</f>
        <v>0</v>
      </c>
    </row>
    <row r="181" spans="1:6" ht="39" thickTop="1" thickBot="1" x14ac:dyDescent="0.3">
      <c r="A181" s="6" t="s">
        <v>109</v>
      </c>
      <c r="B181" s="6"/>
      <c r="C181" s="6" t="s">
        <v>260</v>
      </c>
      <c r="D181" s="11">
        <v>1113</v>
      </c>
      <c r="E181" s="14"/>
      <c r="F181" s="12">
        <f>D181*E181</f>
        <v>0</v>
      </c>
    </row>
    <row r="182" spans="1:6" ht="39" thickTop="1" thickBot="1" x14ac:dyDescent="0.3">
      <c r="A182" s="6" t="s">
        <v>110</v>
      </c>
      <c r="B182" s="6"/>
      <c r="C182" s="6" t="s">
        <v>260</v>
      </c>
      <c r="D182" s="11">
        <v>1829</v>
      </c>
      <c r="E182" s="14"/>
      <c r="F182" s="13">
        <f>D182*E182</f>
        <v>0</v>
      </c>
    </row>
    <row r="183" spans="1:6" ht="39" thickTop="1" thickBot="1" x14ac:dyDescent="0.3">
      <c r="A183" s="6" t="s">
        <v>111</v>
      </c>
      <c r="B183" s="6"/>
      <c r="C183" s="6" t="s">
        <v>260</v>
      </c>
      <c r="D183" s="11">
        <v>1245</v>
      </c>
      <c r="E183" s="14"/>
      <c r="F183" s="13">
        <f>D183*E183</f>
        <v>0</v>
      </c>
    </row>
    <row r="184" spans="1:6" ht="39" thickTop="1" thickBot="1" x14ac:dyDescent="0.3">
      <c r="A184" s="6" t="s">
        <v>112</v>
      </c>
      <c r="B184" s="6"/>
      <c r="C184" s="6" t="s">
        <v>260</v>
      </c>
      <c r="D184" s="11">
        <v>2166</v>
      </c>
      <c r="E184" s="14"/>
      <c r="F184" s="13">
        <f>D184*E184</f>
        <v>0</v>
      </c>
    </row>
    <row r="185" spans="1:6" ht="22.5" thickTop="1" thickBot="1" x14ac:dyDescent="0.3">
      <c r="A185" s="49" t="s">
        <v>259</v>
      </c>
      <c r="B185" s="50"/>
      <c r="C185" s="50"/>
      <c r="D185" s="50"/>
      <c r="E185" s="50"/>
      <c r="F185" s="50"/>
    </row>
    <row r="186" spans="1:6" ht="20.25" thickTop="1" thickBot="1" x14ac:dyDescent="0.3">
      <c r="A186" s="6" t="s">
        <v>243</v>
      </c>
      <c r="B186" s="6"/>
      <c r="C186" s="6" t="s">
        <v>260</v>
      </c>
      <c r="D186" s="11">
        <v>6633</v>
      </c>
      <c r="E186" s="14"/>
      <c r="F186" s="13">
        <f>E186*D186</f>
        <v>0</v>
      </c>
    </row>
    <row r="187" spans="1:6" ht="39" thickTop="1" thickBot="1" x14ac:dyDescent="0.3">
      <c r="A187" s="6" t="s">
        <v>244</v>
      </c>
      <c r="B187" s="6"/>
      <c r="C187" s="6" t="s">
        <v>260</v>
      </c>
      <c r="D187" s="11">
        <v>3305</v>
      </c>
      <c r="E187" s="14"/>
      <c r="F187" s="13">
        <f>E187*D187</f>
        <v>0</v>
      </c>
    </row>
    <row r="188" spans="1:6" ht="39" thickTop="1" thickBot="1" x14ac:dyDescent="0.3">
      <c r="A188" s="6" t="s">
        <v>245</v>
      </c>
      <c r="B188" s="6"/>
      <c r="C188" s="6" t="s">
        <v>260</v>
      </c>
      <c r="D188" s="11">
        <v>4178</v>
      </c>
      <c r="E188" s="14"/>
      <c r="F188" s="13">
        <f>E188*D188</f>
        <v>0</v>
      </c>
    </row>
    <row r="189" spans="1:6" ht="39" thickTop="1" thickBot="1" x14ac:dyDescent="0.3">
      <c r="A189" s="6" t="s">
        <v>246</v>
      </c>
      <c r="B189" s="6"/>
      <c r="C189" s="6" t="s">
        <v>260</v>
      </c>
      <c r="D189" s="11">
        <v>4974</v>
      </c>
      <c r="E189" s="14"/>
      <c r="F189" s="13">
        <f>E189*D189</f>
        <v>0</v>
      </c>
    </row>
    <row r="190" spans="1:6" ht="20.25" thickTop="1" thickBot="1" x14ac:dyDescent="0.3">
      <c r="A190" s="53"/>
      <c r="B190" s="54"/>
      <c r="C190" s="54"/>
      <c r="D190" s="54"/>
      <c r="E190" s="54"/>
      <c r="F190" s="54"/>
    </row>
    <row r="191" spans="1:6" ht="39" thickTop="1" thickBot="1" x14ac:dyDescent="0.3">
      <c r="A191" s="6" t="s">
        <v>247</v>
      </c>
      <c r="B191" s="6"/>
      <c r="C191" s="6" t="s">
        <v>260</v>
      </c>
      <c r="D191" s="11">
        <v>4514</v>
      </c>
      <c r="E191" s="14"/>
      <c r="F191" s="13">
        <f>E191*D191</f>
        <v>0</v>
      </c>
    </row>
    <row r="192" spans="1:6" ht="39" thickTop="1" thickBot="1" x14ac:dyDescent="0.3">
      <c r="A192" s="6" t="s">
        <v>248</v>
      </c>
      <c r="B192" s="6"/>
      <c r="C192" s="6" t="s">
        <v>260</v>
      </c>
      <c r="D192" s="11">
        <v>5437</v>
      </c>
      <c r="E192" s="14"/>
      <c r="F192" s="13">
        <f>E192*D192</f>
        <v>0</v>
      </c>
    </row>
    <row r="193" spans="1:6" ht="39" thickTop="1" thickBot="1" x14ac:dyDescent="0.3">
      <c r="A193" s="6" t="s">
        <v>249</v>
      </c>
      <c r="B193" s="6"/>
      <c r="C193" s="6" t="s">
        <v>260</v>
      </c>
      <c r="D193" s="11">
        <v>6243</v>
      </c>
      <c r="E193" s="14"/>
      <c r="F193" s="13">
        <f>E193*D193</f>
        <v>0</v>
      </c>
    </row>
    <row r="194" spans="1:6" ht="20.25" thickTop="1" thickBot="1" x14ac:dyDescent="0.3">
      <c r="A194" s="53"/>
      <c r="B194" s="54"/>
      <c r="C194" s="54"/>
      <c r="D194" s="54"/>
      <c r="E194" s="54"/>
      <c r="F194" s="54"/>
    </row>
    <row r="195" spans="1:6" ht="39" thickTop="1" thickBot="1" x14ac:dyDescent="0.3">
      <c r="A195" s="6" t="s">
        <v>250</v>
      </c>
      <c r="B195" s="6"/>
      <c r="C195" s="6" t="s">
        <v>260</v>
      </c>
      <c r="D195" s="11">
        <v>10007</v>
      </c>
      <c r="E195" s="14"/>
      <c r="F195" s="13">
        <f>E195*D195</f>
        <v>0</v>
      </c>
    </row>
    <row r="196" spans="1:6" ht="39" thickTop="1" thickBot="1" x14ac:dyDescent="0.3">
      <c r="A196" s="6" t="s">
        <v>251</v>
      </c>
      <c r="B196" s="6"/>
      <c r="C196" s="6" t="s">
        <v>260</v>
      </c>
      <c r="D196" s="11">
        <v>4875</v>
      </c>
      <c r="E196" s="14"/>
      <c r="F196" s="13">
        <f>E196*D196</f>
        <v>0</v>
      </c>
    </row>
    <row r="197" spans="1:6" ht="39" thickTop="1" thickBot="1" x14ac:dyDescent="0.3">
      <c r="A197" s="6" t="s">
        <v>252</v>
      </c>
      <c r="B197" s="6"/>
      <c r="C197" s="6" t="s">
        <v>260</v>
      </c>
      <c r="D197" s="11">
        <v>5434</v>
      </c>
      <c r="E197" s="14"/>
      <c r="F197" s="13">
        <f>E197*D197</f>
        <v>0</v>
      </c>
    </row>
    <row r="198" spans="1:6" ht="39" thickTop="1" thickBot="1" x14ac:dyDescent="0.3">
      <c r="A198" s="6" t="s">
        <v>253</v>
      </c>
      <c r="B198" s="6"/>
      <c r="C198" s="6" t="s">
        <v>260</v>
      </c>
      <c r="D198" s="11">
        <v>6254</v>
      </c>
      <c r="E198" s="14"/>
      <c r="F198" s="13">
        <f>E198*D198</f>
        <v>0</v>
      </c>
    </row>
    <row r="199" spans="1:6" ht="39" thickTop="1" thickBot="1" x14ac:dyDescent="0.3">
      <c r="A199" s="6" t="s">
        <v>254</v>
      </c>
      <c r="B199" s="6"/>
      <c r="C199" s="6" t="s">
        <v>260</v>
      </c>
      <c r="D199" s="11">
        <v>7990</v>
      </c>
      <c r="E199" s="14"/>
      <c r="F199" s="13">
        <f>E199*D199</f>
        <v>0</v>
      </c>
    </row>
    <row r="200" spans="1:6" ht="20.25" thickTop="1" thickBot="1" x14ac:dyDescent="0.3">
      <c r="A200" s="53"/>
      <c r="B200" s="54"/>
      <c r="C200" s="54"/>
      <c r="D200" s="54"/>
      <c r="E200" s="54"/>
      <c r="F200" s="54"/>
    </row>
    <row r="201" spans="1:6" ht="39" thickTop="1" thickBot="1" x14ac:dyDescent="0.3">
      <c r="A201" s="6" t="s">
        <v>255</v>
      </c>
      <c r="B201" s="6"/>
      <c r="C201" s="6" t="s">
        <v>260</v>
      </c>
      <c r="D201" s="11">
        <v>7490</v>
      </c>
      <c r="E201" s="14"/>
      <c r="F201" s="13">
        <f>E201*D201</f>
        <v>0</v>
      </c>
    </row>
    <row r="202" spans="1:6" ht="39" thickTop="1" thickBot="1" x14ac:dyDescent="0.3">
      <c r="A202" s="6" t="s">
        <v>256</v>
      </c>
      <c r="B202" s="6"/>
      <c r="C202" s="6" t="s">
        <v>260</v>
      </c>
      <c r="D202" s="11">
        <v>8042</v>
      </c>
      <c r="E202" s="14"/>
      <c r="F202" s="13">
        <f>E202*D202</f>
        <v>0</v>
      </c>
    </row>
    <row r="203" spans="1:6" ht="39" thickTop="1" thickBot="1" x14ac:dyDescent="0.3">
      <c r="A203" s="6" t="s">
        <v>257</v>
      </c>
      <c r="B203" s="6"/>
      <c r="C203" s="6" t="s">
        <v>260</v>
      </c>
      <c r="D203" s="11">
        <v>8862</v>
      </c>
      <c r="E203" s="14"/>
      <c r="F203" s="13">
        <f>E203*D203</f>
        <v>0</v>
      </c>
    </row>
    <row r="204" spans="1:6" ht="39" thickTop="1" thickBot="1" x14ac:dyDescent="0.3">
      <c r="A204" s="6" t="s">
        <v>258</v>
      </c>
      <c r="B204" s="6"/>
      <c r="C204" s="6" t="s">
        <v>260</v>
      </c>
      <c r="D204" s="11">
        <v>10598</v>
      </c>
      <c r="E204" s="14"/>
      <c r="F204" s="13">
        <f>E204*D204</f>
        <v>0</v>
      </c>
    </row>
    <row r="205" spans="1:6" ht="22.5" thickTop="1" thickBot="1" x14ac:dyDescent="0.3">
      <c r="A205" s="49" t="s">
        <v>49</v>
      </c>
      <c r="B205" s="50"/>
      <c r="C205" s="50"/>
      <c r="D205" s="50"/>
      <c r="E205" s="50"/>
      <c r="F205" s="50"/>
    </row>
    <row r="206" spans="1:6" ht="22.5" thickTop="1" thickBot="1" x14ac:dyDescent="0.3">
      <c r="A206" s="51" t="s">
        <v>307</v>
      </c>
      <c r="B206" s="52"/>
      <c r="C206" s="52"/>
      <c r="D206" s="52"/>
      <c r="E206" s="52"/>
      <c r="F206" s="52"/>
    </row>
    <row r="207" spans="1:6" ht="20.25" thickTop="1" thickBot="1" x14ac:dyDescent="0.3">
      <c r="A207" s="6" t="s">
        <v>261</v>
      </c>
      <c r="B207" s="6"/>
      <c r="C207" s="6" t="s">
        <v>189</v>
      </c>
      <c r="D207" s="11">
        <v>9000</v>
      </c>
      <c r="E207" s="14">
        <v>0</v>
      </c>
      <c r="F207" s="12">
        <f>D207*E207</f>
        <v>0</v>
      </c>
    </row>
    <row r="208" spans="1:6" ht="20.25" thickTop="1" thickBot="1" x14ac:dyDescent="0.3">
      <c r="A208" s="6" t="s">
        <v>262</v>
      </c>
      <c r="B208" s="6"/>
      <c r="C208" s="6" t="s">
        <v>189</v>
      </c>
      <c r="D208" s="11">
        <v>5300</v>
      </c>
      <c r="E208" s="14">
        <v>0</v>
      </c>
      <c r="F208" s="12">
        <f t="shared" ref="F208:F216" si="7">D208*E208</f>
        <v>0</v>
      </c>
    </row>
    <row r="209" spans="1:6" ht="39" thickTop="1" thickBot="1" x14ac:dyDescent="0.3">
      <c r="A209" s="6" t="s">
        <v>263</v>
      </c>
      <c r="B209" s="6"/>
      <c r="C209" s="6" t="s">
        <v>189</v>
      </c>
      <c r="D209" s="11">
        <v>6500</v>
      </c>
      <c r="E209" s="14">
        <v>0</v>
      </c>
      <c r="F209" s="12">
        <f t="shared" si="7"/>
        <v>0</v>
      </c>
    </row>
    <row r="210" spans="1:6" ht="39" thickTop="1" thickBot="1" x14ac:dyDescent="0.3">
      <c r="A210" s="6" t="s">
        <v>264</v>
      </c>
      <c r="B210" s="6"/>
      <c r="C210" s="6" t="s">
        <v>189</v>
      </c>
      <c r="D210" s="11">
        <v>7600</v>
      </c>
      <c r="E210" s="14">
        <v>0</v>
      </c>
      <c r="F210" s="12"/>
    </row>
    <row r="211" spans="1:6" ht="20.25" thickTop="1" thickBot="1" x14ac:dyDescent="0.3">
      <c r="A211" s="6" t="s">
        <v>350</v>
      </c>
      <c r="B211" s="6"/>
      <c r="C211" s="6" t="s">
        <v>189</v>
      </c>
      <c r="D211" s="11">
        <v>5900</v>
      </c>
      <c r="E211" s="14">
        <v>0</v>
      </c>
      <c r="F211" s="12">
        <f t="shared" si="7"/>
        <v>0</v>
      </c>
    </row>
    <row r="212" spans="1:6" ht="22.5" thickTop="1" thickBot="1" x14ac:dyDescent="0.3">
      <c r="A212" s="51" t="s">
        <v>308</v>
      </c>
      <c r="B212" s="52"/>
      <c r="C212" s="52"/>
      <c r="D212" s="52"/>
      <c r="E212" s="52"/>
      <c r="F212" s="52"/>
    </row>
    <row r="213" spans="1:6" ht="20.25" thickTop="1" thickBot="1" x14ac:dyDescent="0.3">
      <c r="A213" s="6" t="s">
        <v>348</v>
      </c>
      <c r="B213" s="6"/>
      <c r="C213" s="6" t="s">
        <v>189</v>
      </c>
      <c r="D213" s="11">
        <v>11800</v>
      </c>
      <c r="E213" s="14"/>
      <c r="F213" s="12">
        <f t="shared" si="7"/>
        <v>0</v>
      </c>
    </row>
    <row r="214" spans="1:6" ht="39" thickTop="1" thickBot="1" x14ac:dyDescent="0.3">
      <c r="A214" s="6" t="s">
        <v>265</v>
      </c>
      <c r="B214" s="6"/>
      <c r="C214" s="6" t="s">
        <v>189</v>
      </c>
      <c r="D214" s="11">
        <v>8500</v>
      </c>
      <c r="E214" s="14"/>
      <c r="F214" s="12">
        <f t="shared" si="7"/>
        <v>0</v>
      </c>
    </row>
    <row r="215" spans="1:6" ht="39" thickTop="1" thickBot="1" x14ac:dyDescent="0.3">
      <c r="A215" s="6" t="s">
        <v>266</v>
      </c>
      <c r="B215" s="6"/>
      <c r="C215" s="6" t="s">
        <v>189</v>
      </c>
      <c r="D215" s="11">
        <v>9700</v>
      </c>
      <c r="E215" s="14"/>
      <c r="F215" s="12">
        <f t="shared" si="7"/>
        <v>0</v>
      </c>
    </row>
    <row r="216" spans="1:6" ht="39" thickTop="1" thickBot="1" x14ac:dyDescent="0.3">
      <c r="A216" s="6" t="s">
        <v>267</v>
      </c>
      <c r="B216" s="6"/>
      <c r="C216" s="6" t="s">
        <v>189</v>
      </c>
      <c r="D216" s="11">
        <v>10800</v>
      </c>
      <c r="E216" s="14"/>
      <c r="F216" s="12">
        <f t="shared" si="7"/>
        <v>0</v>
      </c>
    </row>
    <row r="217" spans="1:6" ht="22.5" thickTop="1" thickBot="1" x14ac:dyDescent="0.3">
      <c r="A217" s="51" t="s">
        <v>268</v>
      </c>
      <c r="B217" s="52"/>
      <c r="C217" s="52"/>
      <c r="D217" s="52"/>
      <c r="E217" s="52"/>
      <c r="F217" s="52"/>
    </row>
    <row r="218" spans="1:6" ht="20.25" thickTop="1" thickBot="1" x14ac:dyDescent="0.3">
      <c r="A218" s="6" t="s">
        <v>362</v>
      </c>
      <c r="B218" s="6"/>
      <c r="C218" s="6" t="s">
        <v>189</v>
      </c>
      <c r="D218" s="11">
        <v>12800</v>
      </c>
      <c r="E218" s="14"/>
      <c r="F218" s="13"/>
    </row>
    <row r="219" spans="1:6" ht="20.25" thickTop="1" thickBot="1" x14ac:dyDescent="0.3">
      <c r="A219" s="6" t="s">
        <v>349</v>
      </c>
      <c r="B219" s="6"/>
      <c r="C219" s="6" t="s">
        <v>189</v>
      </c>
      <c r="D219" s="11">
        <v>7230</v>
      </c>
      <c r="E219" s="14"/>
      <c r="F219" s="13"/>
    </row>
    <row r="220" spans="1:6" ht="20.25" thickTop="1" thickBot="1" x14ac:dyDescent="0.3">
      <c r="A220" s="6" t="s">
        <v>351</v>
      </c>
      <c r="B220" s="6"/>
      <c r="C220" s="6" t="s">
        <v>189</v>
      </c>
      <c r="D220" s="11">
        <v>8200</v>
      </c>
      <c r="E220" s="14"/>
      <c r="F220" s="13"/>
    </row>
    <row r="221" spans="1:6" ht="20.25" thickTop="1" thickBot="1" x14ac:dyDescent="0.3">
      <c r="A221" s="6" t="s">
        <v>352</v>
      </c>
      <c r="B221" s="6"/>
      <c r="C221" s="6" t="s">
        <v>189</v>
      </c>
      <c r="D221" s="11">
        <v>9200</v>
      </c>
      <c r="E221" s="14"/>
      <c r="F221" s="13"/>
    </row>
    <row r="222" spans="1:6" ht="20.25" thickTop="1" thickBot="1" x14ac:dyDescent="0.3">
      <c r="A222" s="6" t="s">
        <v>353</v>
      </c>
      <c r="B222" s="6"/>
      <c r="C222" s="6" t="s">
        <v>189</v>
      </c>
      <c r="D222" s="11">
        <v>13150</v>
      </c>
      <c r="E222" s="14"/>
      <c r="F222" s="13"/>
    </row>
    <row r="223" spans="1:6" ht="20.25" thickTop="1" thickBot="1" x14ac:dyDescent="0.3">
      <c r="A223" s="6" t="s">
        <v>361</v>
      </c>
      <c r="B223" s="6"/>
      <c r="C223" s="6" t="s">
        <v>189</v>
      </c>
      <c r="D223" s="11">
        <v>10600</v>
      </c>
      <c r="E223" s="14"/>
      <c r="F223" s="13"/>
    </row>
    <row r="224" spans="1:6" ht="22.5" thickTop="1" thickBot="1" x14ac:dyDescent="0.3">
      <c r="A224" s="51" t="s">
        <v>354</v>
      </c>
      <c r="B224" s="52"/>
      <c r="C224" s="52"/>
      <c r="D224" s="52"/>
      <c r="E224" s="52"/>
      <c r="F224" s="52"/>
    </row>
    <row r="225" spans="1:6" ht="20.25" thickTop="1" thickBot="1" x14ac:dyDescent="0.3">
      <c r="A225" s="6" t="s">
        <v>355</v>
      </c>
      <c r="B225" s="6"/>
      <c r="C225" s="6" t="s">
        <v>189</v>
      </c>
      <c r="D225" s="11">
        <v>15150</v>
      </c>
      <c r="E225" s="14"/>
      <c r="F225" s="13"/>
    </row>
    <row r="226" spans="1:6" ht="39" thickTop="1" thickBot="1" x14ac:dyDescent="0.3">
      <c r="A226" s="6" t="s">
        <v>356</v>
      </c>
      <c r="B226" s="6"/>
      <c r="C226" s="6" t="s">
        <v>189</v>
      </c>
      <c r="D226" s="11">
        <v>10445</v>
      </c>
      <c r="E226" s="14"/>
      <c r="F226" s="13"/>
    </row>
    <row r="227" spans="1:6" ht="20.25" thickTop="1" thickBot="1" x14ac:dyDescent="0.3">
      <c r="A227" s="6" t="s">
        <v>357</v>
      </c>
      <c r="B227" s="6"/>
      <c r="C227" s="6" t="s">
        <v>189</v>
      </c>
      <c r="D227" s="11">
        <v>11382</v>
      </c>
      <c r="E227" s="14"/>
      <c r="F227" s="13"/>
    </row>
    <row r="228" spans="1:6" ht="20.25" thickTop="1" thickBot="1" x14ac:dyDescent="0.3">
      <c r="A228" s="6" t="s">
        <v>358</v>
      </c>
      <c r="B228" s="6"/>
      <c r="C228" s="6" t="s">
        <v>189</v>
      </c>
      <c r="D228" s="11">
        <v>12446</v>
      </c>
      <c r="E228" s="14"/>
      <c r="F228" s="13"/>
    </row>
    <row r="229" spans="1:6" ht="20.25" thickTop="1" thickBot="1" x14ac:dyDescent="0.3">
      <c r="A229" s="6" t="s">
        <v>359</v>
      </c>
      <c r="B229" s="6"/>
      <c r="C229" s="6" t="s">
        <v>189</v>
      </c>
      <c r="D229" s="11">
        <v>16347</v>
      </c>
      <c r="E229" s="14"/>
      <c r="F229" s="13"/>
    </row>
    <row r="230" spans="1:6" ht="20.25" thickTop="1" thickBot="1" x14ac:dyDescent="0.3">
      <c r="A230" s="6" t="s">
        <v>360</v>
      </c>
      <c r="B230" s="6"/>
      <c r="C230" s="6" t="s">
        <v>189</v>
      </c>
      <c r="D230" s="11">
        <v>10600</v>
      </c>
      <c r="E230" s="14"/>
      <c r="F230" s="13"/>
    </row>
    <row r="231" spans="1:6" ht="18" customHeight="1" thickTop="1" thickBot="1" x14ac:dyDescent="0.3">
      <c r="A231" s="49" t="s">
        <v>50</v>
      </c>
      <c r="B231" s="50"/>
      <c r="C231" s="50"/>
      <c r="D231" s="50"/>
      <c r="E231" s="50"/>
      <c r="F231" s="55"/>
    </row>
    <row r="232" spans="1:6" ht="18" customHeight="1" thickTop="1" thickBot="1" x14ac:dyDescent="0.3">
      <c r="A232" s="51" t="s">
        <v>269</v>
      </c>
      <c r="B232" s="52"/>
      <c r="C232" s="52"/>
      <c r="D232" s="52"/>
      <c r="E232" s="52"/>
      <c r="F232" s="52"/>
    </row>
    <row r="233" spans="1:6" ht="18" customHeight="1" thickTop="1" thickBot="1" x14ac:dyDescent="0.3">
      <c r="A233" s="6" t="s">
        <v>79</v>
      </c>
      <c r="B233" s="6"/>
      <c r="C233" s="6" t="s">
        <v>189</v>
      </c>
      <c r="D233" s="11">
        <v>3650</v>
      </c>
      <c r="E233" s="14"/>
      <c r="F233" s="12">
        <f>D233*E233</f>
        <v>0</v>
      </c>
    </row>
    <row r="234" spans="1:6" ht="18" customHeight="1" thickTop="1" thickBot="1" x14ac:dyDescent="0.3">
      <c r="A234" s="6" t="s">
        <v>114</v>
      </c>
      <c r="B234" s="6"/>
      <c r="C234" s="6" t="s">
        <v>189</v>
      </c>
      <c r="D234" s="11">
        <v>1656</v>
      </c>
      <c r="E234" s="14"/>
      <c r="F234" s="12">
        <f>D234*E234</f>
        <v>0</v>
      </c>
    </row>
    <row r="235" spans="1:6" ht="18" customHeight="1" thickTop="1" thickBot="1" x14ac:dyDescent="0.3">
      <c r="A235" s="6" t="s">
        <v>115</v>
      </c>
      <c r="B235" s="6"/>
      <c r="C235" s="6" t="s">
        <v>189</v>
      </c>
      <c r="D235" s="11">
        <v>1910</v>
      </c>
      <c r="E235" s="14"/>
      <c r="F235" s="12">
        <f t="shared" ref="F235:F242" si="8">D235*E235</f>
        <v>0</v>
      </c>
    </row>
    <row r="236" spans="1:6" ht="18" customHeight="1" thickTop="1" thickBot="1" x14ac:dyDescent="0.3">
      <c r="A236" s="6" t="s">
        <v>116</v>
      </c>
      <c r="B236" s="6"/>
      <c r="C236" s="6" t="s">
        <v>189</v>
      </c>
      <c r="D236" s="11">
        <v>2250</v>
      </c>
      <c r="E236" s="14"/>
      <c r="F236" s="12">
        <f t="shared" si="8"/>
        <v>0</v>
      </c>
    </row>
    <row r="237" spans="1:6" ht="18" customHeight="1" thickTop="1" thickBot="1" x14ac:dyDescent="0.3">
      <c r="A237" s="6" t="s">
        <v>117</v>
      </c>
      <c r="B237" s="6"/>
      <c r="C237" s="6" t="s">
        <v>189</v>
      </c>
      <c r="D237" s="11">
        <v>2350</v>
      </c>
      <c r="E237" s="14"/>
      <c r="F237" s="12">
        <f t="shared" si="8"/>
        <v>0</v>
      </c>
    </row>
    <row r="238" spans="1:6" ht="18" customHeight="1" thickTop="1" thickBot="1" x14ac:dyDescent="0.3">
      <c r="A238" s="51" t="s">
        <v>363</v>
      </c>
      <c r="B238" s="52"/>
      <c r="C238" s="52"/>
      <c r="D238" s="52"/>
      <c r="E238" s="52"/>
      <c r="F238" s="52"/>
    </row>
    <row r="239" spans="1:6" ht="18" customHeight="1" thickTop="1" thickBot="1" x14ac:dyDescent="0.3">
      <c r="A239" s="6" t="s">
        <v>118</v>
      </c>
      <c r="B239" s="6"/>
      <c r="C239" s="6" t="s">
        <v>189</v>
      </c>
      <c r="D239" s="11"/>
      <c r="E239" s="14"/>
      <c r="F239" s="12">
        <f t="shared" si="8"/>
        <v>0</v>
      </c>
    </row>
    <row r="240" spans="1:6" ht="18" customHeight="1" thickTop="1" thickBot="1" x14ac:dyDescent="0.3">
      <c r="A240" s="6" t="s">
        <v>119</v>
      </c>
      <c r="B240" s="6"/>
      <c r="C240" s="6" t="s">
        <v>189</v>
      </c>
      <c r="D240" s="11"/>
      <c r="E240" s="14"/>
      <c r="F240" s="12">
        <f t="shared" si="8"/>
        <v>0</v>
      </c>
    </row>
    <row r="241" spans="1:6" ht="18" customHeight="1" thickTop="1" thickBot="1" x14ac:dyDescent="0.3">
      <c r="A241" s="6" t="s">
        <v>120</v>
      </c>
      <c r="B241" s="6"/>
      <c r="C241" s="6" t="s">
        <v>189</v>
      </c>
      <c r="D241" s="11"/>
      <c r="E241" s="14"/>
      <c r="F241" s="12">
        <f t="shared" si="8"/>
        <v>0</v>
      </c>
    </row>
    <row r="242" spans="1:6" ht="18" customHeight="1" thickTop="1" thickBot="1" x14ac:dyDescent="0.3">
      <c r="A242" s="6" t="s">
        <v>121</v>
      </c>
      <c r="B242" s="6"/>
      <c r="C242" s="6" t="s">
        <v>189</v>
      </c>
      <c r="D242" s="11"/>
      <c r="E242" s="14"/>
      <c r="F242" s="12">
        <f t="shared" si="8"/>
        <v>0</v>
      </c>
    </row>
    <row r="243" spans="1:6" ht="18" customHeight="1" thickTop="1" thickBot="1" x14ac:dyDescent="0.3">
      <c r="A243" s="63" t="s">
        <v>364</v>
      </c>
      <c r="B243" s="64"/>
      <c r="C243" s="64"/>
      <c r="D243" s="64"/>
      <c r="E243" s="64"/>
      <c r="F243" s="65"/>
    </row>
    <row r="244" spans="1:6" ht="18" customHeight="1" thickTop="1" thickBot="1" x14ac:dyDescent="0.3">
      <c r="A244" s="51" t="s">
        <v>303</v>
      </c>
      <c r="B244" s="52"/>
      <c r="C244" s="52"/>
      <c r="D244" s="52"/>
      <c r="E244" s="52"/>
      <c r="F244" s="52"/>
    </row>
    <row r="245" spans="1:6" ht="18" customHeight="1" thickTop="1" thickBot="1" x14ac:dyDescent="0.3">
      <c r="A245" s="6" t="s">
        <v>80</v>
      </c>
      <c r="B245" s="6"/>
      <c r="C245" s="6" t="s">
        <v>189</v>
      </c>
      <c r="D245" s="11">
        <v>3885</v>
      </c>
      <c r="E245" s="32"/>
      <c r="F245" s="12">
        <f>D245*E245</f>
        <v>0</v>
      </c>
    </row>
    <row r="246" spans="1:6" ht="18" customHeight="1" thickTop="1" thickBot="1" x14ac:dyDescent="0.3">
      <c r="A246" s="6" t="s">
        <v>81</v>
      </c>
      <c r="B246" s="6"/>
      <c r="C246" s="6" t="s">
        <v>189</v>
      </c>
      <c r="D246" s="11">
        <v>3885</v>
      </c>
      <c r="E246" s="32"/>
      <c r="F246" s="12">
        <f t="shared" ref="F246:F292" si="9">D246*E246</f>
        <v>0</v>
      </c>
    </row>
    <row r="247" spans="1:6" ht="18" customHeight="1" thickTop="1" thickBot="1" x14ac:dyDescent="0.3">
      <c r="A247" s="6" t="s">
        <v>82</v>
      </c>
      <c r="B247" s="6"/>
      <c r="C247" s="6" t="s">
        <v>189</v>
      </c>
      <c r="D247" s="11">
        <v>3885</v>
      </c>
      <c r="E247" s="32"/>
      <c r="F247" s="12">
        <f t="shared" si="9"/>
        <v>0</v>
      </c>
    </row>
    <row r="248" spans="1:6" ht="18" customHeight="1" thickTop="1" thickBot="1" x14ac:dyDescent="0.3">
      <c r="A248" s="6" t="s">
        <v>83</v>
      </c>
      <c r="B248" s="6"/>
      <c r="C248" s="6" t="s">
        <v>189</v>
      </c>
      <c r="D248" s="11">
        <v>3931</v>
      </c>
      <c r="E248" s="32"/>
      <c r="F248" s="12">
        <f t="shared" si="9"/>
        <v>0</v>
      </c>
    </row>
    <row r="249" spans="1:6" ht="18" customHeight="1" thickTop="1" thickBot="1" x14ac:dyDescent="0.3">
      <c r="A249" s="6" t="s">
        <v>84</v>
      </c>
      <c r="B249" s="6"/>
      <c r="C249" s="6" t="s">
        <v>189</v>
      </c>
      <c r="D249" s="11">
        <v>3979</v>
      </c>
      <c r="E249" s="32"/>
      <c r="F249" s="12">
        <f t="shared" si="9"/>
        <v>0</v>
      </c>
    </row>
    <row r="250" spans="1:6" ht="18" customHeight="1" thickTop="1" thickBot="1" x14ac:dyDescent="0.3">
      <c r="A250" s="6" t="s">
        <v>85</v>
      </c>
      <c r="B250" s="6"/>
      <c r="C250" s="6" t="s">
        <v>189</v>
      </c>
      <c r="D250" s="11">
        <v>4023</v>
      </c>
      <c r="E250" s="32"/>
      <c r="F250" s="12">
        <f t="shared" si="9"/>
        <v>0</v>
      </c>
    </row>
    <row r="251" spans="1:6" ht="18" customHeight="1" thickTop="1" thickBot="1" x14ac:dyDescent="0.3">
      <c r="A251" s="6" t="s">
        <v>86</v>
      </c>
      <c r="B251" s="6"/>
      <c r="C251" s="6" t="s">
        <v>189</v>
      </c>
      <c r="D251" s="11">
        <v>4196</v>
      </c>
      <c r="E251" s="32"/>
      <c r="F251" s="12">
        <f t="shared" si="9"/>
        <v>0</v>
      </c>
    </row>
    <row r="252" spans="1:6" ht="18" customHeight="1" thickTop="1" thickBot="1" x14ac:dyDescent="0.3">
      <c r="A252" s="51" t="s">
        <v>304</v>
      </c>
      <c r="B252" s="52"/>
      <c r="C252" s="52"/>
      <c r="D252" s="52"/>
      <c r="E252" s="52"/>
      <c r="F252" s="52"/>
    </row>
    <row r="253" spans="1:6" ht="18" customHeight="1" thickTop="1" thickBot="1" x14ac:dyDescent="0.3">
      <c r="A253" s="6" t="s">
        <v>88</v>
      </c>
      <c r="B253" s="6"/>
      <c r="C253" s="6" t="s">
        <v>189</v>
      </c>
      <c r="D253" s="11">
        <v>4183</v>
      </c>
      <c r="E253" s="32"/>
      <c r="F253" s="12">
        <f t="shared" si="9"/>
        <v>0</v>
      </c>
    </row>
    <row r="254" spans="1:6" ht="18" customHeight="1" thickTop="1" thickBot="1" x14ac:dyDescent="0.3">
      <c r="A254" s="6" t="s">
        <v>89</v>
      </c>
      <c r="B254" s="6"/>
      <c r="C254" s="6" t="s">
        <v>189</v>
      </c>
      <c r="D254" s="11">
        <v>4183</v>
      </c>
      <c r="E254" s="32"/>
      <c r="F254" s="12">
        <f t="shared" si="9"/>
        <v>0</v>
      </c>
    </row>
    <row r="255" spans="1:6" ht="18" customHeight="1" thickTop="1" thickBot="1" x14ac:dyDescent="0.3">
      <c r="A255" s="6" t="s">
        <v>90</v>
      </c>
      <c r="B255" s="6"/>
      <c r="C255" s="6" t="s">
        <v>189</v>
      </c>
      <c r="D255" s="11">
        <v>4183</v>
      </c>
      <c r="E255" s="32"/>
      <c r="F255" s="12">
        <f t="shared" si="9"/>
        <v>0</v>
      </c>
    </row>
    <row r="256" spans="1:6" ht="18" customHeight="1" thickTop="1" thickBot="1" x14ac:dyDescent="0.3">
      <c r="A256" s="6" t="s">
        <v>91</v>
      </c>
      <c r="B256" s="6"/>
      <c r="C256" s="6" t="s">
        <v>189</v>
      </c>
      <c r="D256" s="11">
        <v>4232</v>
      </c>
      <c r="E256" s="32"/>
      <c r="F256" s="12">
        <f t="shared" si="9"/>
        <v>0</v>
      </c>
    </row>
    <row r="257" spans="1:6" ht="18" customHeight="1" thickTop="1" thickBot="1" x14ac:dyDescent="0.3">
      <c r="A257" s="6" t="s">
        <v>92</v>
      </c>
      <c r="B257" s="6"/>
      <c r="C257" s="6" t="s">
        <v>189</v>
      </c>
      <c r="D257" s="11">
        <v>4279</v>
      </c>
      <c r="E257" s="32"/>
      <c r="F257" s="12">
        <f t="shared" si="9"/>
        <v>0</v>
      </c>
    </row>
    <row r="258" spans="1:6" ht="18" customHeight="1" thickTop="1" thickBot="1" x14ac:dyDescent="0.3">
      <c r="A258" s="6" t="s">
        <v>93</v>
      </c>
      <c r="B258" s="6"/>
      <c r="C258" s="6" t="s">
        <v>189</v>
      </c>
      <c r="D258" s="11">
        <v>4325</v>
      </c>
      <c r="E258" s="32"/>
      <c r="F258" s="12">
        <f t="shared" si="9"/>
        <v>0</v>
      </c>
    </row>
    <row r="259" spans="1:6" ht="18" customHeight="1" thickTop="1" thickBot="1" x14ac:dyDescent="0.3">
      <c r="A259" s="6" t="s">
        <v>87</v>
      </c>
      <c r="B259" s="6"/>
      <c r="C259" s="6" t="s">
        <v>189</v>
      </c>
      <c r="D259" s="11">
        <v>4496</v>
      </c>
      <c r="E259" s="32"/>
      <c r="F259" s="12">
        <f t="shared" si="9"/>
        <v>0</v>
      </c>
    </row>
    <row r="260" spans="1:6" ht="18" customHeight="1" thickTop="1" thickBot="1" x14ac:dyDescent="0.3">
      <c r="A260" s="6" t="s">
        <v>365</v>
      </c>
      <c r="B260" s="6"/>
      <c r="C260" s="6" t="s">
        <v>189</v>
      </c>
      <c r="D260" s="11">
        <v>478</v>
      </c>
      <c r="E260" s="32"/>
      <c r="F260" s="12">
        <f t="shared" si="9"/>
        <v>0</v>
      </c>
    </row>
    <row r="261" spans="1:6" ht="18" customHeight="1" thickTop="1" thickBot="1" x14ac:dyDescent="0.3">
      <c r="A261" s="51" t="s">
        <v>305</v>
      </c>
      <c r="B261" s="52"/>
      <c r="C261" s="52"/>
      <c r="D261" s="52"/>
      <c r="E261" s="52"/>
      <c r="F261" s="52"/>
    </row>
    <row r="262" spans="1:6" ht="18" customHeight="1" thickTop="1" thickBot="1" x14ac:dyDescent="0.3">
      <c r="A262" s="6" t="s">
        <v>94</v>
      </c>
      <c r="B262" s="6"/>
      <c r="C262" s="6" t="s">
        <v>189</v>
      </c>
      <c r="D262" s="11">
        <v>4738</v>
      </c>
      <c r="E262" s="32"/>
      <c r="F262" s="12">
        <f t="shared" si="9"/>
        <v>0</v>
      </c>
    </row>
    <row r="263" spans="1:6" ht="18" customHeight="1" thickTop="1" thickBot="1" x14ac:dyDescent="0.3">
      <c r="A263" s="6" t="s">
        <v>95</v>
      </c>
      <c r="B263" s="6"/>
      <c r="C263" s="6" t="s">
        <v>189</v>
      </c>
      <c r="D263" s="11">
        <v>4738</v>
      </c>
      <c r="E263" s="32"/>
      <c r="F263" s="12">
        <f t="shared" si="9"/>
        <v>0</v>
      </c>
    </row>
    <row r="264" spans="1:6" ht="18" customHeight="1" thickTop="1" thickBot="1" x14ac:dyDescent="0.3">
      <c r="A264" s="6" t="s">
        <v>96</v>
      </c>
      <c r="B264" s="6"/>
      <c r="C264" s="6" t="s">
        <v>189</v>
      </c>
      <c r="D264" s="11">
        <v>4738</v>
      </c>
      <c r="E264" s="32"/>
      <c r="F264" s="12">
        <f t="shared" si="9"/>
        <v>0</v>
      </c>
    </row>
    <row r="265" spans="1:6" ht="18" customHeight="1" thickTop="1" thickBot="1" x14ac:dyDescent="0.3">
      <c r="A265" s="6" t="s">
        <v>97</v>
      </c>
      <c r="B265" s="6"/>
      <c r="C265" s="6" t="s">
        <v>189</v>
      </c>
      <c r="D265" s="11">
        <v>4786</v>
      </c>
      <c r="E265" s="32"/>
      <c r="F265" s="12">
        <f t="shared" si="9"/>
        <v>0</v>
      </c>
    </row>
    <row r="266" spans="1:6" ht="18" customHeight="1" thickTop="1" thickBot="1" x14ac:dyDescent="0.3">
      <c r="A266" s="6" t="s">
        <v>98</v>
      </c>
      <c r="B266" s="6"/>
      <c r="C266" s="6" t="s">
        <v>189</v>
      </c>
      <c r="D266" s="11">
        <v>4834</v>
      </c>
      <c r="E266" s="32"/>
      <c r="F266" s="12">
        <f t="shared" si="9"/>
        <v>0</v>
      </c>
    </row>
    <row r="267" spans="1:6" ht="18" customHeight="1" thickTop="1" thickBot="1" x14ac:dyDescent="0.3">
      <c r="A267" s="6" t="s">
        <v>99</v>
      </c>
      <c r="B267" s="6"/>
      <c r="C267" s="6" t="s">
        <v>189</v>
      </c>
      <c r="D267" s="11">
        <v>4883</v>
      </c>
      <c r="E267" s="32"/>
      <c r="F267" s="12">
        <f t="shared" si="9"/>
        <v>0</v>
      </c>
    </row>
    <row r="268" spans="1:6" ht="18.600000000000001" customHeight="1" thickTop="1" thickBot="1" x14ac:dyDescent="0.3">
      <c r="A268" s="6" t="s">
        <v>100</v>
      </c>
      <c r="B268" s="6"/>
      <c r="C268" s="6" t="s">
        <v>189</v>
      </c>
      <c r="D268" s="11">
        <v>5138</v>
      </c>
      <c r="E268" s="32"/>
      <c r="F268" s="12">
        <f t="shared" si="9"/>
        <v>0</v>
      </c>
    </row>
    <row r="269" spans="1:6" ht="18.600000000000001" customHeight="1" thickTop="1" thickBot="1" x14ac:dyDescent="0.3">
      <c r="A269" s="6" t="s">
        <v>101</v>
      </c>
      <c r="B269" s="6"/>
      <c r="C269" s="6" t="s">
        <v>189</v>
      </c>
      <c r="D269" s="11">
        <v>5471</v>
      </c>
      <c r="E269" s="32"/>
      <c r="F269" s="12">
        <f t="shared" si="9"/>
        <v>0</v>
      </c>
    </row>
    <row r="270" spans="1:6" ht="18.600000000000001" customHeight="1" thickTop="1" thickBot="1" x14ac:dyDescent="0.3">
      <c r="A270" s="51" t="s">
        <v>306</v>
      </c>
      <c r="B270" s="52"/>
      <c r="C270" s="52"/>
      <c r="D270" s="52"/>
      <c r="E270" s="52"/>
      <c r="F270" s="52"/>
    </row>
    <row r="271" spans="1:6" ht="25.5" customHeight="1" thickTop="1" thickBot="1" x14ac:dyDescent="0.3">
      <c r="A271" s="6" t="s">
        <v>366</v>
      </c>
      <c r="B271" s="6"/>
      <c r="C271" s="6" t="s">
        <v>189</v>
      </c>
      <c r="D271" s="11">
        <v>8000</v>
      </c>
      <c r="E271" s="32"/>
      <c r="F271" s="12">
        <f t="shared" si="9"/>
        <v>0</v>
      </c>
    </row>
    <row r="272" spans="1:6" ht="33" customHeight="1" thickTop="1" thickBot="1" x14ac:dyDescent="0.3">
      <c r="A272" s="6" t="s">
        <v>102</v>
      </c>
      <c r="B272" s="6"/>
      <c r="C272" s="6" t="s">
        <v>189</v>
      </c>
      <c r="D272" s="11">
        <v>8000</v>
      </c>
      <c r="E272" s="32"/>
      <c r="F272" s="12">
        <f t="shared" si="9"/>
        <v>0</v>
      </c>
    </row>
    <row r="273" spans="1:6" ht="27.75" customHeight="1" thickTop="1" thickBot="1" x14ac:dyDescent="0.3">
      <c r="A273" s="6" t="s">
        <v>103</v>
      </c>
      <c r="B273" s="6"/>
      <c r="C273" s="6" t="s">
        <v>189</v>
      </c>
      <c r="D273" s="11">
        <v>8000</v>
      </c>
      <c r="E273" s="32"/>
      <c r="F273" s="12">
        <f t="shared" si="9"/>
        <v>0</v>
      </c>
    </row>
    <row r="274" spans="1:6" ht="23.25" customHeight="1" thickTop="1" thickBot="1" x14ac:dyDescent="0.3">
      <c r="A274" s="6" t="s">
        <v>104</v>
      </c>
      <c r="B274" s="6"/>
      <c r="C274" s="6" t="s">
        <v>189</v>
      </c>
      <c r="D274" s="11">
        <v>8000</v>
      </c>
      <c r="E274" s="32"/>
      <c r="F274" s="12">
        <f t="shared" si="9"/>
        <v>0</v>
      </c>
    </row>
    <row r="275" spans="1:6" ht="27" customHeight="1" thickTop="1" thickBot="1" x14ac:dyDescent="0.3">
      <c r="A275" s="6" t="s">
        <v>105</v>
      </c>
      <c r="B275" s="6"/>
      <c r="C275" s="6" t="s">
        <v>189</v>
      </c>
      <c r="D275" s="11">
        <v>8000</v>
      </c>
      <c r="E275" s="32"/>
      <c r="F275" s="12">
        <f t="shared" si="9"/>
        <v>0</v>
      </c>
    </row>
    <row r="276" spans="1:6" ht="23.25" customHeight="1" thickTop="1" thickBot="1" x14ac:dyDescent="0.3">
      <c r="A276" s="6" t="s">
        <v>106</v>
      </c>
      <c r="B276" s="6"/>
      <c r="C276" s="6" t="s">
        <v>189</v>
      </c>
      <c r="D276" s="11">
        <v>8000</v>
      </c>
      <c r="E276" s="32"/>
      <c r="F276" s="12">
        <f t="shared" si="9"/>
        <v>0</v>
      </c>
    </row>
    <row r="277" spans="1:6" ht="22.5" customHeight="1" thickTop="1" thickBot="1" x14ac:dyDescent="0.3">
      <c r="A277" s="6" t="s">
        <v>107</v>
      </c>
      <c r="B277" s="6"/>
      <c r="C277" s="6" t="s">
        <v>189</v>
      </c>
      <c r="D277" s="11">
        <v>8200</v>
      </c>
      <c r="E277" s="32"/>
      <c r="F277" s="12">
        <f t="shared" si="9"/>
        <v>0</v>
      </c>
    </row>
    <row r="278" spans="1:6" ht="22.5" thickTop="1" thickBot="1" x14ac:dyDescent="0.3">
      <c r="A278" s="63" t="s">
        <v>51</v>
      </c>
      <c r="B278" s="64"/>
      <c r="C278" s="64"/>
      <c r="D278" s="64"/>
      <c r="E278" s="64"/>
      <c r="F278" s="65"/>
    </row>
    <row r="279" spans="1:6" ht="22.5" thickTop="1" thickBot="1" x14ac:dyDescent="0.3">
      <c r="A279" s="51" t="s">
        <v>369</v>
      </c>
      <c r="B279" s="52"/>
      <c r="C279" s="52"/>
      <c r="D279" s="52"/>
      <c r="E279" s="52"/>
      <c r="F279" s="52"/>
    </row>
    <row r="280" spans="1:6" ht="39" thickTop="1" thickBot="1" x14ac:dyDescent="0.3">
      <c r="A280" s="6" t="s">
        <v>368</v>
      </c>
      <c r="B280" s="6"/>
      <c r="C280" s="6" t="s">
        <v>189</v>
      </c>
      <c r="D280" s="11">
        <v>550</v>
      </c>
      <c r="E280" s="32"/>
      <c r="F280" s="12">
        <f>D280*E280</f>
        <v>0</v>
      </c>
    </row>
    <row r="281" spans="1:6" ht="20.25" thickTop="1" thickBot="1" x14ac:dyDescent="0.3">
      <c r="A281" s="6" t="s">
        <v>149</v>
      </c>
      <c r="B281" s="6"/>
      <c r="C281" s="6" t="s">
        <v>189</v>
      </c>
      <c r="D281" s="11">
        <v>825</v>
      </c>
      <c r="E281" s="32">
        <v>6</v>
      </c>
      <c r="F281" s="12">
        <f t="shared" si="9"/>
        <v>4950</v>
      </c>
    </row>
    <row r="282" spans="1:6" ht="20.25" thickTop="1" thickBot="1" x14ac:dyDescent="0.3">
      <c r="A282" s="6" t="s">
        <v>151</v>
      </c>
      <c r="B282" s="6"/>
      <c r="C282" s="6" t="s">
        <v>189</v>
      </c>
      <c r="D282" s="11">
        <v>880</v>
      </c>
      <c r="E282" s="32"/>
      <c r="F282" s="12">
        <f t="shared" si="9"/>
        <v>0</v>
      </c>
    </row>
    <row r="283" spans="1:6" ht="20.25" thickTop="1" thickBot="1" x14ac:dyDescent="0.3">
      <c r="A283" s="6" t="s">
        <v>150</v>
      </c>
      <c r="B283" s="6"/>
      <c r="C283" s="6" t="s">
        <v>189</v>
      </c>
      <c r="D283" s="11">
        <v>931</v>
      </c>
      <c r="E283" s="32"/>
      <c r="F283" s="12">
        <f t="shared" si="9"/>
        <v>0</v>
      </c>
    </row>
    <row r="284" spans="1:6" ht="20.25" thickTop="1" thickBot="1" x14ac:dyDescent="0.3">
      <c r="A284" s="6" t="s">
        <v>152</v>
      </c>
      <c r="B284" s="6"/>
      <c r="C284" s="6" t="s">
        <v>189</v>
      </c>
      <c r="D284" s="11">
        <v>980</v>
      </c>
      <c r="E284" s="32">
        <v>0</v>
      </c>
      <c r="F284" s="12">
        <f t="shared" si="9"/>
        <v>0</v>
      </c>
    </row>
    <row r="285" spans="1:6" ht="20.25" thickTop="1" thickBot="1" x14ac:dyDescent="0.3">
      <c r="A285" s="6" t="s">
        <v>153</v>
      </c>
      <c r="B285" s="6"/>
      <c r="C285" s="6" t="s">
        <v>189</v>
      </c>
      <c r="D285" s="11">
        <v>1045</v>
      </c>
      <c r="E285" s="32">
        <v>2</v>
      </c>
      <c r="F285" s="12">
        <f t="shared" si="9"/>
        <v>2090</v>
      </c>
    </row>
    <row r="286" spans="1:6" ht="39" thickTop="1" thickBot="1" x14ac:dyDescent="0.3">
      <c r="A286" s="6" t="s">
        <v>367</v>
      </c>
      <c r="B286" s="6"/>
      <c r="C286" s="6" t="s">
        <v>189</v>
      </c>
      <c r="D286" s="11">
        <v>900</v>
      </c>
      <c r="E286" s="32"/>
      <c r="F286" s="12">
        <f t="shared" si="9"/>
        <v>0</v>
      </c>
    </row>
    <row r="287" spans="1:6" ht="22.5" thickTop="1" thickBot="1" x14ac:dyDescent="0.3">
      <c r="A287" s="51" t="s">
        <v>370</v>
      </c>
      <c r="B287" s="52"/>
      <c r="C287" s="52"/>
      <c r="D287" s="52"/>
      <c r="E287" s="52"/>
      <c r="F287" s="52"/>
    </row>
    <row r="288" spans="1:6" ht="20.25" thickTop="1" thickBot="1" x14ac:dyDescent="0.3">
      <c r="A288" s="6" t="s">
        <v>122</v>
      </c>
      <c r="B288" s="6"/>
      <c r="C288" s="6" t="s">
        <v>189</v>
      </c>
      <c r="D288" s="11">
        <v>849</v>
      </c>
      <c r="E288" s="32"/>
      <c r="F288" s="12">
        <f t="shared" si="9"/>
        <v>0</v>
      </c>
    </row>
    <row r="289" spans="1:6" ht="20.25" thickTop="1" thickBot="1" x14ac:dyDescent="0.3">
      <c r="A289" s="6" t="s">
        <v>123</v>
      </c>
      <c r="B289" s="6"/>
      <c r="C289" s="6" t="s">
        <v>189</v>
      </c>
      <c r="D289" s="11">
        <v>928</v>
      </c>
      <c r="E289" s="32"/>
      <c r="F289" s="12">
        <f t="shared" si="9"/>
        <v>0</v>
      </c>
    </row>
    <row r="290" spans="1:6" ht="20.25" thickTop="1" thickBot="1" x14ac:dyDescent="0.3">
      <c r="A290" s="6" t="s">
        <v>124</v>
      </c>
      <c r="B290" s="6"/>
      <c r="C290" s="6" t="s">
        <v>189</v>
      </c>
      <c r="D290" s="11">
        <v>990</v>
      </c>
      <c r="E290" s="32"/>
      <c r="F290" s="12">
        <f t="shared" si="9"/>
        <v>0</v>
      </c>
    </row>
    <row r="291" spans="1:6" ht="20.25" thickTop="1" thickBot="1" x14ac:dyDescent="0.3">
      <c r="A291" s="6" t="s">
        <v>125</v>
      </c>
      <c r="B291" s="6"/>
      <c r="C291" s="6" t="s">
        <v>189</v>
      </c>
      <c r="D291" s="11">
        <v>1050</v>
      </c>
      <c r="E291" s="32"/>
      <c r="F291" s="12">
        <f t="shared" si="9"/>
        <v>0</v>
      </c>
    </row>
    <row r="292" spans="1:6" ht="20.25" thickTop="1" thickBot="1" x14ac:dyDescent="0.3">
      <c r="A292" s="6" t="s">
        <v>126</v>
      </c>
      <c r="B292" s="6"/>
      <c r="C292" s="6" t="s">
        <v>189</v>
      </c>
      <c r="D292" s="11">
        <v>1135</v>
      </c>
      <c r="E292" s="32"/>
      <c r="F292" s="12">
        <f t="shared" si="9"/>
        <v>0</v>
      </c>
    </row>
    <row r="293" spans="1:6" ht="22.5" thickTop="1" thickBot="1" x14ac:dyDescent="0.3">
      <c r="A293" s="63" t="s">
        <v>371</v>
      </c>
      <c r="B293" s="64"/>
      <c r="C293" s="64"/>
      <c r="D293" s="64"/>
      <c r="E293" s="64"/>
      <c r="F293" s="65"/>
    </row>
    <row r="294" spans="1:6" ht="39" thickTop="1" thickBot="1" x14ac:dyDescent="0.3">
      <c r="A294" s="6" t="s">
        <v>154</v>
      </c>
      <c r="B294" s="6"/>
      <c r="C294" s="6" t="s">
        <v>189</v>
      </c>
      <c r="D294" s="11">
        <v>9526</v>
      </c>
      <c r="E294" s="28"/>
      <c r="F294" s="12">
        <f t="shared" ref="F294:F302" si="10">D294*E294</f>
        <v>0</v>
      </c>
    </row>
    <row r="295" spans="1:6" ht="39" thickTop="1" thickBot="1" x14ac:dyDescent="0.3">
      <c r="A295" s="6" t="s">
        <v>155</v>
      </c>
      <c r="B295" s="6"/>
      <c r="C295" s="6" t="s">
        <v>189</v>
      </c>
      <c r="D295" s="11">
        <v>10557</v>
      </c>
      <c r="E295" s="28"/>
      <c r="F295" s="12">
        <f t="shared" si="10"/>
        <v>0</v>
      </c>
    </row>
    <row r="296" spans="1:6" ht="20.25" thickTop="1" thickBot="1" x14ac:dyDescent="0.3">
      <c r="A296" s="3" t="s">
        <v>372</v>
      </c>
      <c r="B296" s="3"/>
      <c r="C296" s="6" t="s">
        <v>189</v>
      </c>
      <c r="D296" s="11">
        <v>6450</v>
      </c>
      <c r="E296" s="28"/>
      <c r="F296" s="12">
        <f t="shared" si="10"/>
        <v>0</v>
      </c>
    </row>
    <row r="297" spans="1:6" ht="39" thickTop="1" thickBot="1" x14ac:dyDescent="0.3">
      <c r="A297" s="6" t="s">
        <v>373</v>
      </c>
      <c r="B297" s="6"/>
      <c r="C297" s="6" t="s">
        <v>189</v>
      </c>
      <c r="D297" s="11">
        <v>7370</v>
      </c>
      <c r="E297" s="28"/>
      <c r="F297" s="12">
        <f t="shared" si="10"/>
        <v>0</v>
      </c>
    </row>
    <row r="298" spans="1:6" ht="20.25" thickTop="1" thickBot="1" x14ac:dyDescent="0.3">
      <c r="A298" s="3" t="s">
        <v>374</v>
      </c>
      <c r="B298" s="6"/>
      <c r="C298" s="6" t="s">
        <v>189</v>
      </c>
      <c r="D298" s="11">
        <v>3000</v>
      </c>
      <c r="E298" s="28"/>
      <c r="F298" s="12">
        <f t="shared" si="10"/>
        <v>0</v>
      </c>
    </row>
    <row r="299" spans="1:6" ht="20.25" thickTop="1" thickBot="1" x14ac:dyDescent="0.3">
      <c r="A299" s="3" t="s">
        <v>375</v>
      </c>
      <c r="B299" s="6"/>
      <c r="C299" s="6" t="s">
        <v>189</v>
      </c>
      <c r="D299" s="11">
        <v>3550</v>
      </c>
      <c r="E299" s="28"/>
      <c r="F299" s="12"/>
    </row>
    <row r="300" spans="1:6" ht="20.25" thickTop="1" thickBot="1" x14ac:dyDescent="0.3">
      <c r="A300" s="6" t="s">
        <v>156</v>
      </c>
      <c r="B300" s="6"/>
      <c r="C300" s="6" t="s">
        <v>260</v>
      </c>
      <c r="D300" s="11">
        <v>4929</v>
      </c>
      <c r="E300" s="28"/>
      <c r="F300" s="12">
        <f t="shared" si="10"/>
        <v>0</v>
      </c>
    </row>
    <row r="301" spans="1:6" ht="20.25" thickTop="1" thickBot="1" x14ac:dyDescent="0.3">
      <c r="A301" s="6" t="s">
        <v>157</v>
      </c>
      <c r="B301" s="6"/>
      <c r="C301" s="6" t="s">
        <v>260</v>
      </c>
      <c r="D301" s="11">
        <v>5380</v>
      </c>
      <c r="E301" s="28"/>
      <c r="F301" s="12">
        <f t="shared" si="10"/>
        <v>0</v>
      </c>
    </row>
    <row r="302" spans="1:6" ht="20.25" thickTop="1" thickBot="1" x14ac:dyDescent="0.3">
      <c r="A302" s="6" t="s">
        <v>158</v>
      </c>
      <c r="B302" s="6"/>
      <c r="C302" s="6" t="s">
        <v>260</v>
      </c>
      <c r="D302" s="11">
        <v>7208</v>
      </c>
      <c r="E302" s="28"/>
      <c r="F302" s="12">
        <f t="shared" si="10"/>
        <v>0</v>
      </c>
    </row>
    <row r="303" spans="1:6" ht="22.5" thickTop="1" thickBot="1" x14ac:dyDescent="0.3">
      <c r="A303" s="58" t="s">
        <v>52</v>
      </c>
      <c r="B303" s="59"/>
      <c r="C303" s="59"/>
      <c r="D303" s="59"/>
      <c r="E303" s="59"/>
      <c r="F303" s="60"/>
    </row>
    <row r="304" spans="1:6" ht="20.25" thickTop="1" thickBot="1" x14ac:dyDescent="0.3">
      <c r="A304" s="6" t="s">
        <v>175</v>
      </c>
      <c r="B304" s="6"/>
      <c r="C304" s="6" t="s">
        <v>189</v>
      </c>
      <c r="D304" s="11">
        <v>1835</v>
      </c>
      <c r="E304" s="14"/>
      <c r="F304" s="12">
        <f t="shared" ref="F304:F312" si="11">D304*E304</f>
        <v>0</v>
      </c>
    </row>
    <row r="305" spans="1:6" ht="20.25" thickTop="1" thickBot="1" x14ac:dyDescent="0.3">
      <c r="A305" s="6" t="s">
        <v>173</v>
      </c>
      <c r="B305" s="6"/>
      <c r="C305" s="6" t="s">
        <v>189</v>
      </c>
      <c r="D305" s="11">
        <v>1860</v>
      </c>
      <c r="E305" s="14">
        <v>0</v>
      </c>
      <c r="F305" s="12">
        <f t="shared" si="11"/>
        <v>0</v>
      </c>
    </row>
    <row r="306" spans="1:6" ht="20.25" thickTop="1" thickBot="1" x14ac:dyDescent="0.3">
      <c r="A306" s="6" t="s">
        <v>174</v>
      </c>
      <c r="B306" s="6"/>
      <c r="C306" s="6" t="s">
        <v>189</v>
      </c>
      <c r="D306" s="11">
        <v>3550</v>
      </c>
      <c r="E306" s="14"/>
      <c r="F306" s="12">
        <f t="shared" si="11"/>
        <v>0</v>
      </c>
    </row>
    <row r="307" spans="1:6" ht="20.25" thickTop="1" thickBot="1" x14ac:dyDescent="0.3">
      <c r="A307" s="6" t="s">
        <v>172</v>
      </c>
      <c r="B307" s="6"/>
      <c r="C307" s="6" t="s">
        <v>189</v>
      </c>
      <c r="D307" s="11">
        <v>769</v>
      </c>
      <c r="E307" s="14"/>
      <c r="F307" s="12">
        <f t="shared" si="11"/>
        <v>0</v>
      </c>
    </row>
    <row r="308" spans="1:6" ht="20.25" thickTop="1" thickBot="1" x14ac:dyDescent="0.3">
      <c r="A308" s="6" t="s">
        <v>171</v>
      </c>
      <c r="B308" s="6"/>
      <c r="C308" s="6" t="s">
        <v>189</v>
      </c>
      <c r="D308" s="11">
        <v>1500</v>
      </c>
      <c r="E308" s="14">
        <v>0</v>
      </c>
      <c r="F308" s="12">
        <f>D308*E308</f>
        <v>0</v>
      </c>
    </row>
    <row r="309" spans="1:6" ht="39" thickTop="1" thickBot="1" x14ac:dyDescent="0.3">
      <c r="A309" s="6" t="s">
        <v>376</v>
      </c>
      <c r="B309" s="6"/>
      <c r="C309" s="6" t="s">
        <v>189</v>
      </c>
      <c r="D309" s="11"/>
      <c r="E309" s="14"/>
      <c r="F309" s="12"/>
    </row>
    <row r="310" spans="1:6" ht="39" thickTop="1" thickBot="1" x14ac:dyDescent="0.3">
      <c r="A310" s="6" t="s">
        <v>377</v>
      </c>
      <c r="B310" s="6"/>
      <c r="C310" s="6" t="s">
        <v>189</v>
      </c>
      <c r="D310" s="11"/>
      <c r="E310" s="14"/>
      <c r="F310" s="12"/>
    </row>
    <row r="311" spans="1:6" ht="39" thickTop="1" thickBot="1" x14ac:dyDescent="0.3">
      <c r="A311" s="6" t="s">
        <v>378</v>
      </c>
      <c r="B311" s="6"/>
      <c r="C311" s="6" t="s">
        <v>189</v>
      </c>
      <c r="D311" s="11"/>
      <c r="E311" s="14"/>
      <c r="F311" s="12"/>
    </row>
    <row r="312" spans="1:6" ht="39" thickTop="1" thickBot="1" x14ac:dyDescent="0.3">
      <c r="A312" s="6" t="s">
        <v>379</v>
      </c>
      <c r="B312" s="6"/>
      <c r="C312" s="6" t="s">
        <v>189</v>
      </c>
      <c r="D312" s="11">
        <v>1318</v>
      </c>
      <c r="E312" s="14"/>
      <c r="F312" s="12">
        <f t="shared" si="11"/>
        <v>0</v>
      </c>
    </row>
    <row r="313" spans="1:6" ht="22.5" thickTop="1" thickBot="1" x14ac:dyDescent="0.3">
      <c r="A313" s="58" t="s">
        <v>309</v>
      </c>
      <c r="B313" s="59"/>
      <c r="C313" s="59"/>
      <c r="D313" s="59"/>
      <c r="E313" s="59"/>
      <c r="F313" s="60"/>
    </row>
    <row r="314" spans="1:6" ht="20.25" thickTop="1" thickBot="1" x14ac:dyDescent="0.3">
      <c r="A314" s="6" t="s">
        <v>159</v>
      </c>
      <c r="B314" s="6"/>
      <c r="C314" s="6"/>
      <c r="D314" s="11">
        <v>4250</v>
      </c>
      <c r="E314" s="28"/>
      <c r="F314" s="12">
        <f>D314*E314</f>
        <v>0</v>
      </c>
    </row>
    <row r="315" spans="1:6" ht="20.25" thickTop="1" thickBot="1" x14ac:dyDescent="0.3">
      <c r="A315" s="6" t="s">
        <v>160</v>
      </c>
      <c r="B315" s="6"/>
      <c r="C315" s="6"/>
      <c r="D315" s="11">
        <v>2000</v>
      </c>
      <c r="E315" s="28"/>
      <c r="F315" s="12">
        <f>D315*E315</f>
        <v>0</v>
      </c>
    </row>
    <row r="316" spans="1:6" ht="39" thickTop="1" thickBot="1" x14ac:dyDescent="0.3">
      <c r="A316" s="6" t="s">
        <v>170</v>
      </c>
      <c r="B316" s="6"/>
      <c r="C316" s="6"/>
      <c r="D316" s="11"/>
      <c r="E316" s="28"/>
      <c r="F316" s="12">
        <f>D316*E316</f>
        <v>0</v>
      </c>
    </row>
    <row r="317" spans="1:6" ht="20.25" thickTop="1" thickBot="1" x14ac:dyDescent="0.3">
      <c r="A317" s="6" t="s">
        <v>161</v>
      </c>
      <c r="B317" s="6"/>
      <c r="C317" s="6"/>
      <c r="D317" s="11">
        <v>2230</v>
      </c>
      <c r="E317" s="28"/>
      <c r="F317" s="12">
        <f>D317*E317</f>
        <v>0</v>
      </c>
    </row>
    <row r="318" spans="1:6" ht="22.5" thickTop="1" thickBot="1" x14ac:dyDescent="0.3">
      <c r="A318" s="63" t="s">
        <v>38</v>
      </c>
      <c r="B318" s="64"/>
      <c r="C318" s="64"/>
      <c r="D318" s="64"/>
      <c r="E318" s="64"/>
      <c r="F318" s="65"/>
    </row>
    <row r="319" spans="1:6" ht="39" thickTop="1" thickBot="1" x14ac:dyDescent="0.3">
      <c r="A319" s="6" t="s">
        <v>146</v>
      </c>
      <c r="B319" s="6"/>
      <c r="C319" s="6"/>
      <c r="D319" s="11">
        <v>13930</v>
      </c>
      <c r="E319" s="28"/>
      <c r="F319" s="12">
        <f>D319*E319</f>
        <v>0</v>
      </c>
    </row>
    <row r="320" spans="1:6" ht="39" thickTop="1" thickBot="1" x14ac:dyDescent="0.3">
      <c r="A320" s="6" t="s">
        <v>147</v>
      </c>
      <c r="B320" s="6"/>
      <c r="C320" s="6"/>
      <c r="D320" s="11">
        <v>6441</v>
      </c>
      <c r="E320" s="28"/>
      <c r="F320" s="12">
        <f>D320*E320</f>
        <v>0</v>
      </c>
    </row>
    <row r="321" spans="1:6" ht="39" thickTop="1" thickBot="1" x14ac:dyDescent="0.3">
      <c r="A321" s="6" t="s">
        <v>148</v>
      </c>
      <c r="B321" s="6"/>
      <c r="C321" s="6"/>
      <c r="D321" s="11">
        <v>9548</v>
      </c>
      <c r="E321" s="28"/>
      <c r="F321" s="12">
        <f>D321*E321</f>
        <v>0</v>
      </c>
    </row>
    <row r="322" spans="1:6" ht="22.5" thickTop="1" thickBot="1" x14ac:dyDescent="0.3">
      <c r="A322" s="58" t="s">
        <v>53</v>
      </c>
      <c r="B322" s="59"/>
      <c r="C322" s="59"/>
      <c r="D322" s="59"/>
      <c r="E322" s="59"/>
      <c r="F322" s="59"/>
    </row>
    <row r="323" spans="1:6" ht="20.25" thickTop="1" thickBot="1" x14ac:dyDescent="0.3">
      <c r="A323" s="6" t="s">
        <v>176</v>
      </c>
      <c r="B323" s="6"/>
      <c r="C323" s="6"/>
      <c r="D323" s="11">
        <v>1651</v>
      </c>
      <c r="E323" s="14">
        <v>2</v>
      </c>
      <c r="F323" s="12">
        <f>D323*E323</f>
        <v>3302</v>
      </c>
    </row>
    <row r="324" spans="1:6" ht="20.25" thickTop="1" thickBot="1" x14ac:dyDescent="0.3">
      <c r="A324" s="6" t="s">
        <v>177</v>
      </c>
      <c r="B324" s="6"/>
      <c r="C324" s="6"/>
      <c r="D324" s="11">
        <v>1820</v>
      </c>
      <c r="E324" s="14">
        <v>1</v>
      </c>
      <c r="F324" s="12">
        <f>D324*E324</f>
        <v>1820</v>
      </c>
    </row>
    <row r="325" spans="1:6" ht="20.25" thickTop="1" thickBot="1" x14ac:dyDescent="0.3">
      <c r="A325" s="6" t="s">
        <v>178</v>
      </c>
      <c r="B325" s="6"/>
      <c r="C325" s="6"/>
      <c r="D325" s="11">
        <v>1171</v>
      </c>
      <c r="E325" s="14">
        <v>1</v>
      </c>
      <c r="F325" s="12">
        <f>D325*E325</f>
        <v>1171</v>
      </c>
    </row>
    <row r="326" spans="1:6" ht="20.25" thickTop="1" thickBot="1" x14ac:dyDescent="0.3">
      <c r="A326" s="6" t="s">
        <v>179</v>
      </c>
      <c r="B326" s="6"/>
      <c r="C326" s="6"/>
      <c r="D326" s="11">
        <v>1555</v>
      </c>
      <c r="E326" s="14">
        <v>0</v>
      </c>
      <c r="F326" s="12">
        <f>D326*E326</f>
        <v>0</v>
      </c>
    </row>
    <row r="327" spans="1:6" ht="22.5" thickTop="1" thickBot="1" x14ac:dyDescent="0.3">
      <c r="A327" s="58" t="s">
        <v>320</v>
      </c>
      <c r="B327" s="59"/>
      <c r="C327" s="59"/>
      <c r="D327" s="59"/>
      <c r="E327" s="59"/>
      <c r="F327" s="60"/>
    </row>
    <row r="328" spans="1:6" ht="20.25" thickTop="1" thickBot="1" x14ac:dyDescent="0.3">
      <c r="A328" s="6" t="s">
        <v>142</v>
      </c>
      <c r="B328" s="6"/>
      <c r="C328" s="6"/>
      <c r="D328" s="11">
        <v>2599</v>
      </c>
      <c r="E328" s="15"/>
      <c r="F328" s="12">
        <f t="shared" ref="F328:F337" si="12">D328*E328</f>
        <v>0</v>
      </c>
    </row>
    <row r="329" spans="1:6" ht="39" thickTop="1" thickBot="1" x14ac:dyDescent="0.3">
      <c r="A329" s="6" t="s">
        <v>143</v>
      </c>
      <c r="B329" s="6"/>
      <c r="C329" s="6"/>
      <c r="D329" s="11">
        <v>226</v>
      </c>
      <c r="E329" s="15"/>
      <c r="F329" s="12">
        <f t="shared" si="12"/>
        <v>0</v>
      </c>
    </row>
    <row r="330" spans="1:6" ht="20.25" thickTop="1" thickBot="1" x14ac:dyDescent="0.3">
      <c r="A330" s="6" t="s">
        <v>144</v>
      </c>
      <c r="B330" s="6"/>
      <c r="C330" s="6"/>
      <c r="D330" s="11">
        <v>407</v>
      </c>
      <c r="E330" s="15"/>
      <c r="F330" s="12">
        <f t="shared" si="12"/>
        <v>0</v>
      </c>
    </row>
    <row r="331" spans="1:6" ht="20.25" thickTop="1" thickBot="1" x14ac:dyDescent="0.3">
      <c r="A331" s="6" t="s">
        <v>145</v>
      </c>
      <c r="B331" s="6"/>
      <c r="C331" s="6"/>
      <c r="D331" s="11">
        <v>17</v>
      </c>
      <c r="E331" s="15"/>
      <c r="F331" s="12">
        <f t="shared" si="12"/>
        <v>0</v>
      </c>
    </row>
    <row r="332" spans="1:6" ht="20.25" thickTop="1" thickBot="1" x14ac:dyDescent="0.3">
      <c r="A332" s="6" t="s">
        <v>380</v>
      </c>
      <c r="B332" s="6"/>
      <c r="C332" s="6"/>
      <c r="D332" s="11">
        <v>1000</v>
      </c>
      <c r="E332" s="15">
        <v>0</v>
      </c>
      <c r="F332" s="12">
        <f t="shared" si="12"/>
        <v>0</v>
      </c>
    </row>
    <row r="333" spans="1:6" ht="22.5" thickTop="1" thickBot="1" x14ac:dyDescent="0.3">
      <c r="A333" s="58" t="s">
        <v>39</v>
      </c>
      <c r="B333" s="59"/>
      <c r="C333" s="59"/>
      <c r="D333" s="59"/>
      <c r="E333" s="59"/>
      <c r="F333" s="60"/>
    </row>
    <row r="334" spans="1:6" ht="39" thickTop="1" thickBot="1" x14ac:dyDescent="0.3">
      <c r="A334" s="6" t="s">
        <v>138</v>
      </c>
      <c r="B334" s="6"/>
      <c r="C334" s="6"/>
      <c r="D334" s="11">
        <v>1200</v>
      </c>
      <c r="E334" s="14">
        <v>0</v>
      </c>
      <c r="F334" s="12">
        <f t="shared" si="12"/>
        <v>0</v>
      </c>
    </row>
    <row r="335" spans="1:6" ht="20.25" thickTop="1" thickBot="1" x14ac:dyDescent="0.3">
      <c r="A335" s="6" t="s">
        <v>381</v>
      </c>
      <c r="B335" s="6"/>
      <c r="C335" s="6"/>
      <c r="D335" s="11">
        <v>6</v>
      </c>
      <c r="E335" s="14">
        <v>0</v>
      </c>
      <c r="F335" s="12">
        <f t="shared" si="12"/>
        <v>0</v>
      </c>
    </row>
    <row r="336" spans="1:6" ht="39" thickTop="1" thickBot="1" x14ac:dyDescent="0.3">
      <c r="A336" s="6" t="s">
        <v>137</v>
      </c>
      <c r="B336" s="6"/>
      <c r="C336" s="6"/>
      <c r="D336" s="11">
        <v>3500</v>
      </c>
      <c r="E336" s="14">
        <v>0</v>
      </c>
      <c r="F336" s="12">
        <f t="shared" si="12"/>
        <v>0</v>
      </c>
    </row>
    <row r="337" spans="1:6" ht="20.25" thickTop="1" thickBot="1" x14ac:dyDescent="0.3">
      <c r="A337" s="6" t="s">
        <v>139</v>
      </c>
      <c r="B337" s="6"/>
      <c r="C337" s="6"/>
      <c r="D337" s="11">
        <v>2060</v>
      </c>
      <c r="E337" s="14">
        <v>0</v>
      </c>
      <c r="F337" s="12">
        <f t="shared" si="12"/>
        <v>0</v>
      </c>
    </row>
    <row r="338" spans="1:6" ht="22.5" thickTop="1" thickBot="1" x14ac:dyDescent="0.3">
      <c r="A338" s="58" t="s">
        <v>62</v>
      </c>
      <c r="B338" s="59"/>
      <c r="C338" s="59"/>
      <c r="D338" s="59"/>
      <c r="E338" s="59"/>
      <c r="F338" s="59"/>
    </row>
    <row r="339" spans="1:6" ht="20.25" thickTop="1" thickBot="1" x14ac:dyDescent="0.3">
      <c r="A339" s="6" t="s">
        <v>385</v>
      </c>
      <c r="B339" s="6"/>
      <c r="C339" s="6"/>
      <c r="D339" s="11">
        <v>5000</v>
      </c>
      <c r="E339" s="14"/>
      <c r="F339" s="13">
        <f>D339*E339</f>
        <v>0</v>
      </c>
    </row>
    <row r="340" spans="1:6" ht="24.75" thickTop="1" thickBot="1" x14ac:dyDescent="0.3">
      <c r="A340" s="68" t="s">
        <v>36</v>
      </c>
      <c r="B340" s="69"/>
      <c r="C340" s="69"/>
      <c r="D340" s="69"/>
      <c r="E340" s="69"/>
      <c r="F340" s="70"/>
    </row>
    <row r="341" spans="1:6" ht="33.75" customHeight="1" thickTop="1" thickBot="1" x14ac:dyDescent="0.3">
      <c r="A341" s="35"/>
      <c r="B341" s="36"/>
      <c r="C341" s="37"/>
      <c r="D341" s="3" t="s">
        <v>30</v>
      </c>
      <c r="E341" s="7">
        <f>F339+F337+F336+F335+F334+F332+F331+F330+F329+F328+F326+F325+F324+F323+F321+F320+F319+F317+F316+F315+F314+F312+F311+F310+F309+F308+F307+F306+F305+F304+F302+F301+F300+F299+F298+F297+F296+F295+F294+F292+F291+F290+F289+F288+F286+F285+F284+F283+F282+F281+F280+F277+F276+F275+F274+F273+F272+F271+F269+F268+F267+F266+F265+F264+F263+F262+F260+F259+F258+F257+F256+F255+F254+F253+F251+F250+F249+F248+F247+F246+F245+F242+F241+F240+F239+F237+F236+F235+F234+F233+F230+F229+F228+F227+F226+F225+F223+F222+F221+F220+F219+F218+F216+F215+F214+F213+F211+F210+F209+F208+F207+F204+F203+F202+F201+F199+F198+F197+F196+F195+F193+F192+F191+F189+F188+F187+F186+F184+F183+F182+F181+F180+F178+F177+F176+F175+F174+F173+F172+F171+F170+F168+F167+F166+F165+F164+F163+F162+F161+F160+F158+F157+F156+F155+F154+F153+F152+F151+F149+F148+F147+F146+F145+F144+F143+F140+F139+F138+F137+F136+F135+F133+F131+F130+F129+F128+F127+F126+F125+F124+F123+F121+F120+F119+F118+F117+F116+F115+F113+F112+F111+F110+F108+F107+F106+F105+F104+F103+F102+F101+F100+F99+F98+F97+F96+F95+F94+F93+F92+F91+F90+F89+F88+F87+F86+F85+F84+F80+F79+F78+F77+F76+F75+F73+F72+F71+F70+F69+F67+F66+F64++F63+F65+F61+F60+F59+F58+F57+F55+F54+F53+F52+F50+F49+F48+F47+F46+F45+F44+F43+F42+F40+F39+F38+F37+F36+F35+F34+F33+F32+F31+F30+F29+F28+F25+F23+F22+F21+F20+F19+F18+F17+F16+F15+F14+F13+F12+F10+F9+F8+F7+F6+F5+F4+F3</f>
        <v>123173</v>
      </c>
      <c r="F341" s="7"/>
    </row>
    <row r="342" spans="1:6" ht="27" customHeight="1" thickTop="1" thickBot="1" x14ac:dyDescent="0.3">
      <c r="A342" s="38"/>
      <c r="B342" s="39"/>
      <c r="C342" s="40"/>
      <c r="D342" s="3" t="s">
        <v>29</v>
      </c>
      <c r="E342" s="7">
        <f>ROUNDUP((0.8*E341),0)</f>
        <v>98539</v>
      </c>
      <c r="F342" s="7"/>
    </row>
    <row r="343" spans="1:6" ht="28.5" customHeight="1" thickTop="1" thickBot="1" x14ac:dyDescent="0.3">
      <c r="A343" s="38"/>
      <c r="B343" s="39"/>
      <c r="C343" s="40"/>
      <c r="D343" s="3" t="s">
        <v>9</v>
      </c>
      <c r="E343" s="7">
        <f>ROUNDUP((0.55*E341),0)</f>
        <v>67746</v>
      </c>
      <c r="F343" s="7"/>
    </row>
    <row r="344" spans="1:6" ht="24.75" customHeight="1" thickTop="1" thickBot="1" x14ac:dyDescent="0.3">
      <c r="A344" s="38"/>
      <c r="B344" s="39"/>
      <c r="C344" s="40"/>
      <c r="D344" s="3" t="s">
        <v>31</v>
      </c>
      <c r="E344" s="7">
        <v>2500</v>
      </c>
      <c r="F344" s="7">
        <f>E344</f>
        <v>2500</v>
      </c>
    </row>
    <row r="345" spans="1:6" ht="19.5" customHeight="1" thickTop="1" thickBot="1" x14ac:dyDescent="0.3">
      <c r="A345" s="38"/>
      <c r="B345" s="39"/>
      <c r="C345" s="40"/>
      <c r="D345" s="3" t="s">
        <v>10</v>
      </c>
      <c r="E345" s="7">
        <v>6500</v>
      </c>
      <c r="F345" s="7">
        <v>10000</v>
      </c>
    </row>
    <row r="346" spans="1:6" ht="31.5" customHeight="1" thickTop="1" thickBot="1" x14ac:dyDescent="0.3">
      <c r="A346" s="38"/>
      <c r="B346" s="39"/>
      <c r="C346" s="40"/>
      <c r="D346" s="3" t="s">
        <v>32</v>
      </c>
      <c r="E346" s="7">
        <f>ROUNDUP((0.08*E341),0)</f>
        <v>9854</v>
      </c>
      <c r="F346" s="7"/>
    </row>
    <row r="347" spans="1:6" ht="29.25" customHeight="1" thickTop="1" thickBot="1" x14ac:dyDescent="0.3">
      <c r="A347" s="38"/>
      <c r="B347" s="39"/>
      <c r="C347" s="40"/>
      <c r="D347" s="3" t="s">
        <v>33</v>
      </c>
      <c r="E347" s="7">
        <f>ROUNDUP((E341*0.05),0)</f>
        <v>6159</v>
      </c>
      <c r="F347" s="7"/>
    </row>
    <row r="348" spans="1:6" ht="36" customHeight="1" thickTop="1" thickBot="1" x14ac:dyDescent="0.3">
      <c r="A348" s="38"/>
      <c r="B348" s="39"/>
      <c r="C348" s="40"/>
      <c r="D348" s="16" t="s">
        <v>35</v>
      </c>
      <c r="E348" s="71">
        <f>ROUNDUP((SUM(E341:E347)),0)</f>
        <v>314471</v>
      </c>
      <c r="F348" s="72"/>
    </row>
    <row r="349" spans="1:6" ht="29.25" customHeight="1" thickTop="1" thickBot="1" x14ac:dyDescent="0.3">
      <c r="A349" s="38"/>
      <c r="B349" s="39"/>
      <c r="C349" s="40"/>
      <c r="D349" s="3" t="s">
        <v>34</v>
      </c>
      <c r="E349" s="73">
        <f>ROUNDUP((0.3*E348),0)</f>
        <v>94342</v>
      </c>
      <c r="F349" s="74"/>
    </row>
    <row r="350" spans="1:6" ht="34.5" customHeight="1" thickTop="1" thickBot="1" x14ac:dyDescent="0.3">
      <c r="A350" s="38"/>
      <c r="B350" s="39"/>
      <c r="C350" s="40"/>
      <c r="D350" s="16" t="s">
        <v>35</v>
      </c>
      <c r="E350" s="71">
        <f>ROUND((E349+E348),0)</f>
        <v>408813</v>
      </c>
      <c r="F350" s="72"/>
    </row>
    <row r="351" spans="1:6" ht="27" customHeight="1" thickTop="1" thickBot="1" x14ac:dyDescent="0.3">
      <c r="A351" s="38"/>
      <c r="B351" s="39"/>
      <c r="C351" s="40"/>
      <c r="D351" s="4" t="s">
        <v>27</v>
      </c>
      <c r="E351" s="73">
        <f>ROUNDUP((E350*0.3)*0.05,0)</f>
        <v>6133</v>
      </c>
      <c r="F351" s="74"/>
    </row>
    <row r="352" spans="1:6" ht="29.25" customHeight="1" thickTop="1" thickBot="1" x14ac:dyDescent="0.3">
      <c r="A352" s="38"/>
      <c r="B352" s="39"/>
      <c r="C352" s="40"/>
      <c r="D352" s="4" t="s">
        <v>12</v>
      </c>
      <c r="E352" s="73">
        <v>0</v>
      </c>
      <c r="F352" s="74"/>
    </row>
    <row r="353" spans="1:6" ht="20.25" thickTop="1" thickBot="1" x14ac:dyDescent="0.3">
      <c r="A353" s="38"/>
      <c r="B353" s="39"/>
      <c r="C353" s="40"/>
      <c r="D353" s="16" t="s">
        <v>318</v>
      </c>
      <c r="E353" s="71">
        <f>ROUNDUP((E350+E351+E352),0)</f>
        <v>414946</v>
      </c>
      <c r="F353" s="72"/>
    </row>
    <row r="354" spans="1:6" ht="32.25" customHeight="1" thickTop="1" thickBot="1" x14ac:dyDescent="0.3">
      <c r="A354" s="41"/>
      <c r="B354" s="42"/>
      <c r="C354" s="43"/>
      <c r="D354" s="29" t="s">
        <v>317</v>
      </c>
      <c r="E354" s="66">
        <f>E353*1.13</f>
        <v>468888.98</v>
      </c>
      <c r="F354" s="67"/>
    </row>
    <row r="355" spans="1:6" ht="15.75" thickTop="1" x14ac:dyDescent="0.25">
      <c r="F355" s="34"/>
    </row>
  </sheetData>
  <mergeCells count="60">
    <mergeCell ref="A81:F81"/>
    <mergeCell ref="A2:F2"/>
    <mergeCell ref="A11:F11"/>
    <mergeCell ref="A24:F24"/>
    <mergeCell ref="A26:F26"/>
    <mergeCell ref="A27:F27"/>
    <mergeCell ref="A41:F41"/>
    <mergeCell ref="A51:F51"/>
    <mergeCell ref="A56:F56"/>
    <mergeCell ref="A62:F62"/>
    <mergeCell ref="A68:F68"/>
    <mergeCell ref="A74:F74"/>
    <mergeCell ref="A179:F179"/>
    <mergeCell ref="A82:F82"/>
    <mergeCell ref="A109:F109"/>
    <mergeCell ref="A114:F114"/>
    <mergeCell ref="A122:F122"/>
    <mergeCell ref="A132:F132"/>
    <mergeCell ref="A134:F134"/>
    <mergeCell ref="A141:F141"/>
    <mergeCell ref="A142:F142"/>
    <mergeCell ref="A150:F150"/>
    <mergeCell ref="A159:F159"/>
    <mergeCell ref="A169:F169"/>
    <mergeCell ref="A238:F238"/>
    <mergeCell ref="A185:F185"/>
    <mergeCell ref="A190:F190"/>
    <mergeCell ref="A194:F194"/>
    <mergeCell ref="A200:F200"/>
    <mergeCell ref="A205:F205"/>
    <mergeCell ref="A206:F206"/>
    <mergeCell ref="A212:F212"/>
    <mergeCell ref="A217:F217"/>
    <mergeCell ref="A224:F224"/>
    <mergeCell ref="A231:F231"/>
    <mergeCell ref="A232:F232"/>
    <mergeCell ref="A318:F318"/>
    <mergeCell ref="A243:F243"/>
    <mergeCell ref="A244:F244"/>
    <mergeCell ref="A252:F252"/>
    <mergeCell ref="A261:F261"/>
    <mergeCell ref="A270:F270"/>
    <mergeCell ref="A278:F278"/>
    <mergeCell ref="A279:F279"/>
    <mergeCell ref="A287:F287"/>
    <mergeCell ref="A293:F293"/>
    <mergeCell ref="A303:F303"/>
    <mergeCell ref="A313:F313"/>
    <mergeCell ref="E354:F354"/>
    <mergeCell ref="A322:F322"/>
    <mergeCell ref="A327:F327"/>
    <mergeCell ref="A333:F333"/>
    <mergeCell ref="A338:F338"/>
    <mergeCell ref="A340:F340"/>
    <mergeCell ref="E348:F348"/>
    <mergeCell ref="E349:F349"/>
    <mergeCell ref="E350:F350"/>
    <mergeCell ref="E351:F351"/>
    <mergeCell ref="E352:F352"/>
    <mergeCell ref="E353:F353"/>
  </mergeCells>
  <pageMargins left="0.7" right="0.7" top="0.75" bottom="0.75" header="0.3" footer="0.3"/>
  <pageSetup paperSize="9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F827-2E7D-4E51-AECE-EF824ABF5A58}">
  <dimension ref="A1:H355"/>
  <sheetViews>
    <sheetView topLeftCell="A326" zoomScale="69" zoomScaleNormal="60" workbookViewId="0">
      <selection activeCell="E352" sqref="E352:F352"/>
    </sheetView>
  </sheetViews>
  <sheetFormatPr defaultColWidth="38.7109375" defaultRowHeight="15" x14ac:dyDescent="0.25"/>
  <cols>
    <col min="1" max="1" width="69.140625" customWidth="1"/>
    <col min="2" max="2" width="14.5703125" customWidth="1"/>
    <col min="3" max="3" width="19.85546875" customWidth="1"/>
    <col min="4" max="4" width="31.140625" customWidth="1"/>
    <col min="5" max="5" width="18.5703125" style="33" customWidth="1"/>
    <col min="6" max="6" width="24.85546875" bestFit="1" customWidth="1"/>
    <col min="7" max="7" width="79.7109375" customWidth="1"/>
  </cols>
  <sheetData>
    <row r="1" spans="1:7" ht="22.5" thickTop="1" thickBot="1" x14ac:dyDescent="0.3">
      <c r="A1" s="5" t="s">
        <v>0</v>
      </c>
      <c r="B1" s="5" t="s">
        <v>183</v>
      </c>
      <c r="C1" s="5" t="s">
        <v>188</v>
      </c>
      <c r="D1" s="5" t="s">
        <v>2</v>
      </c>
      <c r="E1" s="5" t="s">
        <v>1</v>
      </c>
      <c r="F1" s="9" t="s">
        <v>3</v>
      </c>
    </row>
    <row r="2" spans="1:7" ht="24.75" thickTop="1" thickBot="1" x14ac:dyDescent="0.3">
      <c r="A2" s="46" t="s">
        <v>42</v>
      </c>
      <c r="B2" s="47"/>
      <c r="C2" s="47"/>
      <c r="D2" s="47"/>
      <c r="E2" s="47"/>
      <c r="F2" s="48"/>
    </row>
    <row r="3" spans="1:7" ht="20.25" thickTop="1" thickBot="1" x14ac:dyDescent="0.3">
      <c r="A3" s="6" t="s">
        <v>322</v>
      </c>
      <c r="B3" s="6"/>
      <c r="C3" s="6" t="s">
        <v>191</v>
      </c>
      <c r="D3" s="11">
        <v>6000</v>
      </c>
      <c r="E3" s="14">
        <v>0</v>
      </c>
      <c r="F3" s="12">
        <f t="shared" ref="F3:F19" si="0">ROUNDUP(E3*D3,0)</f>
        <v>0</v>
      </c>
    </row>
    <row r="4" spans="1:7" ht="20.25" thickTop="1" thickBot="1" x14ac:dyDescent="0.3">
      <c r="A4" s="6" t="s">
        <v>322</v>
      </c>
      <c r="B4" s="6"/>
      <c r="C4" s="6" t="s">
        <v>191</v>
      </c>
      <c r="D4" s="11">
        <v>6650</v>
      </c>
      <c r="E4" s="14"/>
      <c r="F4" s="12">
        <f t="shared" si="0"/>
        <v>0</v>
      </c>
    </row>
    <row r="5" spans="1:7" ht="20.25" thickTop="1" thickBot="1" x14ac:dyDescent="0.3">
      <c r="A5" s="6" t="s">
        <v>321</v>
      </c>
      <c r="B5" s="6"/>
      <c r="C5" s="6" t="s">
        <v>191</v>
      </c>
      <c r="D5" s="11">
        <v>8050</v>
      </c>
      <c r="E5" s="14">
        <v>0</v>
      </c>
      <c r="F5" s="12">
        <f t="shared" si="0"/>
        <v>0</v>
      </c>
    </row>
    <row r="6" spans="1:7" ht="20.25" thickTop="1" thickBot="1" x14ac:dyDescent="0.3">
      <c r="A6" s="6" t="s">
        <v>43</v>
      </c>
      <c r="B6" s="6" t="s">
        <v>315</v>
      </c>
      <c r="C6" s="6" t="s">
        <v>189</v>
      </c>
      <c r="D6" s="11">
        <v>5650</v>
      </c>
      <c r="E6" s="14"/>
      <c r="F6" s="12">
        <f t="shared" si="0"/>
        <v>0</v>
      </c>
    </row>
    <row r="7" spans="1:7" ht="20.25" thickTop="1" thickBot="1" x14ac:dyDescent="0.3">
      <c r="A7" s="6" t="s">
        <v>43</v>
      </c>
      <c r="B7" s="6" t="s">
        <v>314</v>
      </c>
      <c r="C7" s="6" t="s">
        <v>189</v>
      </c>
      <c r="D7" s="11">
        <v>6400</v>
      </c>
      <c r="E7" s="14"/>
      <c r="F7" s="12">
        <f t="shared" si="0"/>
        <v>0</v>
      </c>
    </row>
    <row r="8" spans="1:7" ht="20.25" thickTop="1" thickBot="1" x14ac:dyDescent="0.3">
      <c r="A8" s="6" t="s">
        <v>323</v>
      </c>
      <c r="B8" s="6" t="s">
        <v>315</v>
      </c>
      <c r="C8" s="6" t="s">
        <v>190</v>
      </c>
      <c r="D8" s="11">
        <v>5100</v>
      </c>
      <c r="E8" s="14"/>
      <c r="F8" s="12">
        <f t="shared" si="0"/>
        <v>0</v>
      </c>
    </row>
    <row r="9" spans="1:7" ht="20.25" thickTop="1" thickBot="1" x14ac:dyDescent="0.3">
      <c r="A9" s="6" t="s">
        <v>323</v>
      </c>
      <c r="B9" s="6" t="s">
        <v>314</v>
      </c>
      <c r="C9" s="6" t="s">
        <v>190</v>
      </c>
      <c r="D9" s="11">
        <v>5600</v>
      </c>
      <c r="E9" s="14">
        <v>0</v>
      </c>
      <c r="F9" s="12">
        <f t="shared" si="0"/>
        <v>0</v>
      </c>
    </row>
    <row r="10" spans="1:7" ht="20.25" thickTop="1" thickBot="1" x14ac:dyDescent="0.3">
      <c r="A10" s="6" t="s">
        <v>324</v>
      </c>
      <c r="B10" s="6" t="s">
        <v>382</v>
      </c>
      <c r="C10" s="6" t="s">
        <v>191</v>
      </c>
      <c r="D10" s="11">
        <v>3600</v>
      </c>
      <c r="E10" s="14">
        <v>3</v>
      </c>
      <c r="F10" s="12">
        <f t="shared" si="0"/>
        <v>10800</v>
      </c>
    </row>
    <row r="11" spans="1:7" ht="22.5" thickTop="1" thickBot="1" x14ac:dyDescent="0.3">
      <c r="A11" s="49" t="s">
        <v>127</v>
      </c>
      <c r="B11" s="50"/>
      <c r="C11" s="50"/>
      <c r="D11" s="50"/>
      <c r="E11" s="50"/>
      <c r="F11" s="50"/>
    </row>
    <row r="12" spans="1:7" ht="20.25" thickTop="1" thickBot="1" x14ac:dyDescent="0.3">
      <c r="A12" s="6" t="s">
        <v>141</v>
      </c>
      <c r="B12" s="6"/>
      <c r="C12" s="6" t="s">
        <v>191</v>
      </c>
      <c r="D12" s="11">
        <v>17.5</v>
      </c>
      <c r="E12" s="14"/>
      <c r="F12" s="12">
        <f t="shared" si="0"/>
        <v>0</v>
      </c>
    </row>
    <row r="13" spans="1:7" ht="20.25" thickTop="1" thickBot="1" x14ac:dyDescent="0.3">
      <c r="A13" s="6" t="s">
        <v>128</v>
      </c>
      <c r="B13" s="6"/>
      <c r="C13" s="6" t="s">
        <v>191</v>
      </c>
      <c r="D13" s="11">
        <v>34</v>
      </c>
      <c r="E13" s="14">
        <v>150</v>
      </c>
      <c r="F13" s="12">
        <f t="shared" si="0"/>
        <v>5100</v>
      </c>
    </row>
    <row r="14" spans="1:7" ht="20.25" thickTop="1" thickBot="1" x14ac:dyDescent="0.3">
      <c r="A14" s="6" t="s">
        <v>129</v>
      </c>
      <c r="B14" s="6"/>
      <c r="C14" s="6" t="s">
        <v>191</v>
      </c>
      <c r="D14" s="11">
        <v>60</v>
      </c>
      <c r="E14" s="14"/>
      <c r="F14" s="12">
        <f t="shared" si="0"/>
        <v>0</v>
      </c>
    </row>
    <row r="15" spans="1:7" ht="20.25" thickTop="1" thickBot="1" x14ac:dyDescent="0.3">
      <c r="A15" s="6" t="s">
        <v>130</v>
      </c>
      <c r="B15" s="6"/>
      <c r="C15" s="6" t="s">
        <v>191</v>
      </c>
      <c r="D15" s="11">
        <v>129.5</v>
      </c>
      <c r="E15" s="14"/>
      <c r="F15" s="12">
        <f t="shared" si="0"/>
        <v>0</v>
      </c>
    </row>
    <row r="16" spans="1:7" ht="20.25" thickTop="1" thickBot="1" x14ac:dyDescent="0.3">
      <c r="A16" s="6" t="s">
        <v>180</v>
      </c>
      <c r="B16" s="6"/>
      <c r="C16" s="6" t="s">
        <v>189</v>
      </c>
      <c r="D16" s="11">
        <v>18</v>
      </c>
      <c r="E16" s="14"/>
      <c r="F16" s="12">
        <f t="shared" si="0"/>
        <v>0</v>
      </c>
      <c r="G16" s="27"/>
    </row>
    <row r="17" spans="1:7" ht="20.25" thickTop="1" thickBot="1" x14ac:dyDescent="0.3">
      <c r="A17" s="6" t="s">
        <v>131</v>
      </c>
      <c r="B17" s="6"/>
      <c r="C17" s="6" t="s">
        <v>189</v>
      </c>
      <c r="D17" s="11">
        <v>32</v>
      </c>
      <c r="E17" s="14"/>
      <c r="F17" s="12">
        <f t="shared" si="0"/>
        <v>0</v>
      </c>
      <c r="G17" s="27"/>
    </row>
    <row r="18" spans="1:7" ht="20.25" thickTop="1" thickBot="1" x14ac:dyDescent="0.3">
      <c r="A18" s="6" t="s">
        <v>132</v>
      </c>
      <c r="B18" s="6"/>
      <c r="C18" s="6" t="s">
        <v>189</v>
      </c>
      <c r="D18" s="11">
        <v>56.5</v>
      </c>
      <c r="E18" s="14"/>
      <c r="F18" s="12">
        <f t="shared" si="0"/>
        <v>0</v>
      </c>
      <c r="G18" s="27"/>
    </row>
    <row r="19" spans="1:7" ht="20.25" thickTop="1" thickBot="1" x14ac:dyDescent="0.3">
      <c r="A19" s="6" t="s">
        <v>319</v>
      </c>
      <c r="B19" s="6"/>
      <c r="C19" s="6" t="s">
        <v>189</v>
      </c>
      <c r="D19" s="11">
        <v>80</v>
      </c>
      <c r="E19" s="14"/>
      <c r="F19" s="12">
        <f t="shared" si="0"/>
        <v>0</v>
      </c>
      <c r="G19" s="27"/>
    </row>
    <row r="20" spans="1:7" ht="20.25" thickTop="1" thickBot="1" x14ac:dyDescent="0.3">
      <c r="A20" s="6" t="s">
        <v>184</v>
      </c>
      <c r="B20" s="6"/>
      <c r="C20" s="6" t="s">
        <v>190</v>
      </c>
      <c r="D20" s="11"/>
      <c r="E20" s="14"/>
      <c r="F20" s="13"/>
      <c r="G20" s="27"/>
    </row>
    <row r="21" spans="1:7" ht="20.25" thickTop="1" thickBot="1" x14ac:dyDescent="0.3">
      <c r="A21" s="6" t="s">
        <v>185</v>
      </c>
      <c r="B21" s="6"/>
      <c r="C21" s="6" t="s">
        <v>190</v>
      </c>
      <c r="D21" s="11"/>
      <c r="E21" s="14"/>
      <c r="F21" s="13"/>
      <c r="G21" s="27"/>
    </row>
    <row r="22" spans="1:7" ht="20.25" thickTop="1" thickBot="1" x14ac:dyDescent="0.3">
      <c r="A22" s="6" t="s">
        <v>186</v>
      </c>
      <c r="B22" s="6"/>
      <c r="C22" s="6" t="s">
        <v>190</v>
      </c>
      <c r="D22" s="11"/>
      <c r="E22" s="14"/>
      <c r="F22" s="13"/>
      <c r="G22" s="27"/>
    </row>
    <row r="23" spans="1:7" ht="20.25" thickTop="1" thickBot="1" x14ac:dyDescent="0.3">
      <c r="A23" s="6" t="s">
        <v>187</v>
      </c>
      <c r="B23" s="6"/>
      <c r="C23" s="6" t="s">
        <v>190</v>
      </c>
      <c r="D23" s="11"/>
      <c r="E23" s="14"/>
      <c r="F23" s="13"/>
      <c r="G23" s="27"/>
    </row>
    <row r="24" spans="1:7" ht="24.75" thickTop="1" thickBot="1" x14ac:dyDescent="0.3">
      <c r="A24" s="46" t="s">
        <v>181</v>
      </c>
      <c r="B24" s="47"/>
      <c r="C24" s="47"/>
      <c r="D24" s="47"/>
      <c r="E24" s="47"/>
      <c r="F24" s="48"/>
    </row>
    <row r="25" spans="1:7" ht="20.25" thickTop="1" thickBot="1" x14ac:dyDescent="0.3">
      <c r="A25" s="6" t="s">
        <v>182</v>
      </c>
      <c r="B25" s="6"/>
      <c r="C25" s="6"/>
      <c r="D25" s="11">
        <v>1380</v>
      </c>
      <c r="E25" s="28">
        <v>0</v>
      </c>
      <c r="F25" s="12">
        <f>D25*E25</f>
        <v>0</v>
      </c>
    </row>
    <row r="26" spans="1:7" ht="24.75" thickTop="1" thickBot="1" x14ac:dyDescent="0.3">
      <c r="A26" s="46" t="s">
        <v>44</v>
      </c>
      <c r="B26" s="47"/>
      <c r="C26" s="47"/>
      <c r="D26" s="47"/>
      <c r="E26" s="47"/>
      <c r="F26" s="48"/>
    </row>
    <row r="27" spans="1:7" ht="22.5" thickTop="1" thickBot="1" x14ac:dyDescent="0.3">
      <c r="A27" s="49" t="s">
        <v>227</v>
      </c>
      <c r="B27" s="50"/>
      <c r="C27" s="50"/>
      <c r="D27" s="50"/>
      <c r="E27" s="50"/>
      <c r="F27" s="50"/>
    </row>
    <row r="28" spans="1:7" ht="20.25" thickTop="1" thickBot="1" x14ac:dyDescent="0.3">
      <c r="A28" s="6" t="s">
        <v>77</v>
      </c>
      <c r="B28" s="6"/>
      <c r="C28" s="6" t="s">
        <v>189</v>
      </c>
      <c r="D28" s="11">
        <v>6800</v>
      </c>
      <c r="E28" s="14">
        <v>2</v>
      </c>
      <c r="F28" s="12">
        <f>ROUNDUP(E28*D28,0)</f>
        <v>13600</v>
      </c>
    </row>
    <row r="29" spans="1:7" ht="20.25" thickTop="1" thickBot="1" x14ac:dyDescent="0.3">
      <c r="A29" s="6" t="s">
        <v>228</v>
      </c>
      <c r="B29" s="6"/>
      <c r="C29" s="6" t="s">
        <v>189</v>
      </c>
      <c r="D29" s="11">
        <v>6000</v>
      </c>
      <c r="E29" s="14">
        <v>0</v>
      </c>
      <c r="F29" s="12">
        <f t="shared" ref="F29:F131" si="1">ROUNDUP(E29*D29,0)</f>
        <v>0</v>
      </c>
    </row>
    <row r="30" spans="1:7" ht="20.25" thickTop="1" thickBot="1" x14ac:dyDescent="0.3">
      <c r="A30" s="6" t="s">
        <v>108</v>
      </c>
      <c r="B30" s="6"/>
      <c r="C30" s="6" t="s">
        <v>189</v>
      </c>
      <c r="D30" s="11">
        <v>9700</v>
      </c>
      <c r="E30" s="14">
        <v>0</v>
      </c>
      <c r="F30" s="12">
        <f t="shared" si="1"/>
        <v>0</v>
      </c>
    </row>
    <row r="31" spans="1:7" ht="20.25" thickTop="1" thickBot="1" x14ac:dyDescent="0.3">
      <c r="A31" s="6" t="s">
        <v>229</v>
      </c>
      <c r="B31" s="6"/>
      <c r="C31" s="6" t="s">
        <v>191</v>
      </c>
      <c r="D31" s="11">
        <v>13901</v>
      </c>
      <c r="E31" s="14"/>
      <c r="F31" s="12">
        <f t="shared" si="1"/>
        <v>0</v>
      </c>
    </row>
    <row r="32" spans="1:7" ht="20.25" thickTop="1" thickBot="1" x14ac:dyDescent="0.3">
      <c r="A32" s="6" t="s">
        <v>230</v>
      </c>
      <c r="B32" s="6"/>
      <c r="C32" s="6" t="s">
        <v>191</v>
      </c>
      <c r="D32" s="11">
        <v>9800</v>
      </c>
      <c r="E32" s="14"/>
      <c r="F32" s="12">
        <f t="shared" si="1"/>
        <v>0</v>
      </c>
    </row>
    <row r="33" spans="1:6" ht="20.25" thickTop="1" thickBot="1" x14ac:dyDescent="0.3">
      <c r="A33" s="6" t="s">
        <v>54</v>
      </c>
      <c r="B33" s="6"/>
      <c r="C33" s="6" t="s">
        <v>192</v>
      </c>
      <c r="D33" s="11">
        <v>10645</v>
      </c>
      <c r="E33" s="14"/>
      <c r="F33" s="12">
        <f t="shared" si="1"/>
        <v>0</v>
      </c>
    </row>
    <row r="34" spans="1:6" ht="20.25" thickTop="1" thickBot="1" x14ac:dyDescent="0.3">
      <c r="A34" s="6" t="s">
        <v>55</v>
      </c>
      <c r="B34" s="6"/>
      <c r="C34" s="6" t="s">
        <v>192</v>
      </c>
      <c r="D34" s="11">
        <v>13810</v>
      </c>
      <c r="E34" s="14"/>
      <c r="F34" s="12">
        <f t="shared" si="1"/>
        <v>0</v>
      </c>
    </row>
    <row r="35" spans="1:6" ht="20.25" thickTop="1" thickBot="1" x14ac:dyDescent="0.3">
      <c r="A35" s="6" t="s">
        <v>56</v>
      </c>
      <c r="B35" s="6"/>
      <c r="C35" s="6" t="s">
        <v>191</v>
      </c>
      <c r="D35" s="11">
        <v>24816</v>
      </c>
      <c r="E35" s="14"/>
      <c r="F35" s="12">
        <f t="shared" si="1"/>
        <v>0</v>
      </c>
    </row>
    <row r="36" spans="1:6" ht="20.25" thickTop="1" thickBot="1" x14ac:dyDescent="0.3">
      <c r="A36" s="6" t="s">
        <v>57</v>
      </c>
      <c r="B36" s="6"/>
      <c r="C36" s="6" t="s">
        <v>191</v>
      </c>
      <c r="D36" s="11">
        <v>11999</v>
      </c>
      <c r="E36" s="14"/>
      <c r="F36" s="12">
        <f t="shared" si="1"/>
        <v>0</v>
      </c>
    </row>
    <row r="37" spans="1:6" ht="20.25" thickTop="1" thickBot="1" x14ac:dyDescent="0.3">
      <c r="A37" s="6" t="s">
        <v>59</v>
      </c>
      <c r="B37" s="6"/>
      <c r="C37" s="6" t="s">
        <v>189</v>
      </c>
      <c r="D37" s="11">
        <v>12450</v>
      </c>
      <c r="E37" s="14">
        <v>0</v>
      </c>
      <c r="F37" s="12">
        <f t="shared" si="1"/>
        <v>0</v>
      </c>
    </row>
    <row r="38" spans="1:6" ht="20.25" thickTop="1" thickBot="1" x14ac:dyDescent="0.3">
      <c r="A38" s="6" t="s">
        <v>58</v>
      </c>
      <c r="B38" s="6"/>
      <c r="C38" s="6" t="s">
        <v>189</v>
      </c>
      <c r="D38" s="11">
        <v>17160</v>
      </c>
      <c r="E38" s="14"/>
      <c r="F38" s="12">
        <f t="shared" si="1"/>
        <v>0</v>
      </c>
    </row>
    <row r="39" spans="1:6" ht="20.25" thickTop="1" thickBot="1" x14ac:dyDescent="0.3">
      <c r="A39" s="6" t="s">
        <v>60</v>
      </c>
      <c r="B39" s="6"/>
      <c r="C39" s="6" t="s">
        <v>189</v>
      </c>
      <c r="D39" s="11">
        <v>10560</v>
      </c>
      <c r="E39" s="14"/>
      <c r="F39" s="12">
        <f t="shared" si="1"/>
        <v>0</v>
      </c>
    </row>
    <row r="40" spans="1:6" ht="20.25" thickTop="1" thickBot="1" x14ac:dyDescent="0.3">
      <c r="A40" s="6" t="s">
        <v>61</v>
      </c>
      <c r="B40" s="6"/>
      <c r="C40" s="6" t="s">
        <v>191</v>
      </c>
      <c r="D40" s="11">
        <v>26406</v>
      </c>
      <c r="E40" s="14"/>
      <c r="F40" s="12">
        <f t="shared" si="1"/>
        <v>0</v>
      </c>
    </row>
    <row r="41" spans="1:6" ht="22.5" thickTop="1" thickBot="1" x14ac:dyDescent="0.3">
      <c r="A41" s="49" t="s">
        <v>133</v>
      </c>
      <c r="B41" s="50"/>
      <c r="C41" s="50"/>
      <c r="D41" s="50"/>
      <c r="E41" s="50"/>
      <c r="F41" s="50"/>
    </row>
    <row r="42" spans="1:6" ht="20.25" thickTop="1" thickBot="1" x14ac:dyDescent="0.3">
      <c r="A42" s="6" t="s">
        <v>134</v>
      </c>
      <c r="B42" s="6"/>
      <c r="C42" s="6" t="s">
        <v>189</v>
      </c>
      <c r="D42" s="11">
        <v>45</v>
      </c>
      <c r="E42" s="14">
        <v>25</v>
      </c>
      <c r="F42" s="12">
        <f t="shared" ref="F42:F50" si="2">ROUNDUP(E42*D42,0)</f>
        <v>1125</v>
      </c>
    </row>
    <row r="43" spans="1:6" ht="20.25" thickTop="1" thickBot="1" x14ac:dyDescent="0.3">
      <c r="A43" s="6" t="s">
        <v>135</v>
      </c>
      <c r="B43" s="6"/>
      <c r="C43" s="6" t="s">
        <v>192</v>
      </c>
      <c r="D43" s="11">
        <v>113</v>
      </c>
      <c r="E43" s="14">
        <v>0</v>
      </c>
      <c r="F43" s="12">
        <f t="shared" si="2"/>
        <v>0</v>
      </c>
    </row>
    <row r="44" spans="1:6" ht="20.25" thickTop="1" thickBot="1" x14ac:dyDescent="0.3">
      <c r="A44" s="6" t="s">
        <v>136</v>
      </c>
      <c r="B44" s="6"/>
      <c r="C44" s="6" t="s">
        <v>192</v>
      </c>
      <c r="D44" s="11">
        <v>113</v>
      </c>
      <c r="E44" s="14"/>
      <c r="F44" s="12">
        <f t="shared" si="2"/>
        <v>0</v>
      </c>
    </row>
    <row r="45" spans="1:6" ht="20.25" thickTop="1" thickBot="1" x14ac:dyDescent="0.3">
      <c r="A45" s="6" t="s">
        <v>164</v>
      </c>
      <c r="B45" s="6"/>
      <c r="C45" s="6" t="s">
        <v>191</v>
      </c>
      <c r="D45" s="11">
        <v>74.400000000000006</v>
      </c>
      <c r="E45" s="14">
        <v>0</v>
      </c>
      <c r="F45" s="12">
        <f t="shared" si="2"/>
        <v>0</v>
      </c>
    </row>
    <row r="46" spans="1:6" ht="20.25" thickTop="1" thickBot="1" x14ac:dyDescent="0.3">
      <c r="A46" s="6" t="s">
        <v>165</v>
      </c>
      <c r="B46" s="6"/>
      <c r="C46" s="6" t="s">
        <v>189</v>
      </c>
      <c r="D46" s="11">
        <v>85</v>
      </c>
      <c r="E46" s="14">
        <v>0</v>
      </c>
      <c r="F46" s="12">
        <f t="shared" si="2"/>
        <v>0</v>
      </c>
    </row>
    <row r="47" spans="1:6" ht="20.25" thickTop="1" thickBot="1" x14ac:dyDescent="0.3">
      <c r="A47" s="6" t="s">
        <v>166</v>
      </c>
      <c r="B47" s="6"/>
      <c r="C47" s="6" t="s">
        <v>189</v>
      </c>
      <c r="D47" s="11">
        <v>95.04</v>
      </c>
      <c r="E47" s="14"/>
      <c r="F47" s="12">
        <f t="shared" si="2"/>
        <v>0</v>
      </c>
    </row>
    <row r="48" spans="1:6" ht="20.25" thickTop="1" thickBot="1" x14ac:dyDescent="0.3">
      <c r="A48" s="6" t="s">
        <v>167</v>
      </c>
      <c r="B48" s="6"/>
      <c r="C48" s="6" t="s">
        <v>189</v>
      </c>
      <c r="D48" s="11">
        <v>87.62</v>
      </c>
      <c r="E48" s="14"/>
      <c r="F48" s="12">
        <f t="shared" si="2"/>
        <v>0</v>
      </c>
    </row>
    <row r="49" spans="1:8" ht="20.25" thickTop="1" thickBot="1" x14ac:dyDescent="0.3">
      <c r="A49" s="6" t="s">
        <v>168</v>
      </c>
      <c r="B49" s="6"/>
      <c r="C49" s="6" t="s">
        <v>191</v>
      </c>
      <c r="D49" s="11">
        <v>112.36</v>
      </c>
      <c r="E49" s="14"/>
      <c r="F49" s="12">
        <f t="shared" si="2"/>
        <v>0</v>
      </c>
    </row>
    <row r="50" spans="1:8" ht="20.25" thickTop="1" thickBot="1" x14ac:dyDescent="0.3">
      <c r="A50" s="6" t="s">
        <v>169</v>
      </c>
      <c r="B50" s="6"/>
      <c r="C50" s="6" t="s">
        <v>191</v>
      </c>
      <c r="D50" s="11">
        <v>144.76</v>
      </c>
      <c r="E50" s="14"/>
      <c r="F50" s="12">
        <f t="shared" si="2"/>
        <v>0</v>
      </c>
    </row>
    <row r="51" spans="1:8" s="31" customFormat="1" ht="22.5" thickTop="1" thickBot="1" x14ac:dyDescent="0.4">
      <c r="A51" s="51" t="s">
        <v>231</v>
      </c>
      <c r="B51" s="52"/>
      <c r="C51" s="52"/>
      <c r="D51" s="52"/>
      <c r="E51" s="52"/>
      <c r="F51" s="52"/>
    </row>
    <row r="52" spans="1:8" ht="20.25" thickTop="1" thickBot="1" x14ac:dyDescent="0.3">
      <c r="A52" s="6" t="s">
        <v>193</v>
      </c>
      <c r="B52" s="6"/>
      <c r="C52" s="6" t="s">
        <v>197</v>
      </c>
      <c r="D52" s="11">
        <v>5600</v>
      </c>
      <c r="E52" s="14"/>
      <c r="F52" s="12">
        <f t="shared" si="1"/>
        <v>0</v>
      </c>
    </row>
    <row r="53" spans="1:8" ht="20.25" thickTop="1" thickBot="1" x14ac:dyDescent="0.3">
      <c r="A53" s="6" t="s">
        <v>194</v>
      </c>
      <c r="B53" s="6"/>
      <c r="C53" s="6" t="s">
        <v>197</v>
      </c>
      <c r="D53" s="11">
        <v>6800</v>
      </c>
      <c r="E53" s="14"/>
      <c r="F53" s="12">
        <f t="shared" si="1"/>
        <v>0</v>
      </c>
    </row>
    <row r="54" spans="1:8" ht="20.25" thickTop="1" thickBot="1" x14ac:dyDescent="0.3">
      <c r="A54" s="6" t="s">
        <v>195</v>
      </c>
      <c r="B54" s="6"/>
      <c r="C54" s="6" t="s">
        <v>197</v>
      </c>
      <c r="D54" s="11">
        <v>8030</v>
      </c>
      <c r="E54" s="14"/>
      <c r="F54" s="12">
        <f t="shared" si="1"/>
        <v>0</v>
      </c>
    </row>
    <row r="55" spans="1:8" ht="20.25" thickTop="1" thickBot="1" x14ac:dyDescent="0.3">
      <c r="A55" s="6" t="s">
        <v>196</v>
      </c>
      <c r="B55" s="6"/>
      <c r="C55" s="6" t="s">
        <v>197</v>
      </c>
      <c r="D55" s="11">
        <v>11330</v>
      </c>
      <c r="E55" s="14"/>
      <c r="F55" s="12">
        <f t="shared" si="1"/>
        <v>0</v>
      </c>
      <c r="H55" t="s">
        <v>4</v>
      </c>
    </row>
    <row r="56" spans="1:8" ht="20.25" thickTop="1" thickBot="1" x14ac:dyDescent="0.3">
      <c r="A56" s="53"/>
      <c r="B56" s="54"/>
      <c r="C56" s="54"/>
      <c r="D56" s="54"/>
      <c r="E56" s="54"/>
      <c r="F56" s="54"/>
    </row>
    <row r="57" spans="1:8" ht="20.25" thickTop="1" thickBot="1" x14ac:dyDescent="0.3">
      <c r="A57" s="6" t="s">
        <v>203</v>
      </c>
      <c r="B57" s="6"/>
      <c r="C57" s="6" t="s">
        <v>197</v>
      </c>
      <c r="D57" s="11">
        <v>3900</v>
      </c>
      <c r="E57" s="14"/>
      <c r="F57" s="12">
        <f t="shared" si="1"/>
        <v>0</v>
      </c>
    </row>
    <row r="58" spans="1:8" ht="20.25" thickTop="1" thickBot="1" x14ac:dyDescent="0.3">
      <c r="A58" s="6" t="s">
        <v>204</v>
      </c>
      <c r="B58" s="6"/>
      <c r="C58" s="6" t="s">
        <v>197</v>
      </c>
      <c r="D58" s="11">
        <v>4500</v>
      </c>
      <c r="E58" s="14"/>
      <c r="F58" s="12">
        <f t="shared" si="1"/>
        <v>0</v>
      </c>
    </row>
    <row r="59" spans="1:8" ht="20.25" thickTop="1" thickBot="1" x14ac:dyDescent="0.3">
      <c r="A59" s="6" t="s">
        <v>205</v>
      </c>
      <c r="B59" s="6"/>
      <c r="C59" s="6" t="s">
        <v>197</v>
      </c>
      <c r="D59" s="11">
        <v>5400</v>
      </c>
      <c r="E59" s="14"/>
      <c r="F59" s="12">
        <f t="shared" si="1"/>
        <v>0</v>
      </c>
    </row>
    <row r="60" spans="1:8" ht="20.25" thickTop="1" thickBot="1" x14ac:dyDescent="0.3">
      <c r="A60" s="6" t="s">
        <v>206</v>
      </c>
      <c r="B60" s="6"/>
      <c r="C60" s="6" t="s">
        <v>197</v>
      </c>
      <c r="D60" s="11">
        <v>6200</v>
      </c>
      <c r="E60" s="14"/>
      <c r="F60" s="12">
        <f t="shared" si="1"/>
        <v>0</v>
      </c>
    </row>
    <row r="61" spans="1:8" ht="20.25" thickTop="1" thickBot="1" x14ac:dyDescent="0.3">
      <c r="A61" s="6" t="s">
        <v>207</v>
      </c>
      <c r="B61" s="6"/>
      <c r="C61" s="6" t="s">
        <v>197</v>
      </c>
      <c r="D61" s="11">
        <v>6650</v>
      </c>
      <c r="E61" s="14"/>
      <c r="F61" s="12">
        <f t="shared" si="1"/>
        <v>0</v>
      </c>
    </row>
    <row r="62" spans="1:8" ht="20.25" thickTop="1" thickBot="1" x14ac:dyDescent="0.3">
      <c r="A62" s="53"/>
      <c r="B62" s="54"/>
      <c r="C62" s="54"/>
      <c r="D62" s="54"/>
      <c r="E62" s="54"/>
      <c r="F62" s="54"/>
    </row>
    <row r="63" spans="1:8" ht="20.25" thickTop="1" thickBot="1" x14ac:dyDescent="0.3">
      <c r="A63" s="6" t="s">
        <v>198</v>
      </c>
      <c r="B63" s="6"/>
      <c r="C63" s="6" t="s">
        <v>197</v>
      </c>
      <c r="D63" s="11">
        <v>4650</v>
      </c>
      <c r="E63" s="14"/>
      <c r="F63" s="12">
        <f t="shared" si="1"/>
        <v>0</v>
      </c>
    </row>
    <row r="64" spans="1:8" ht="20.25" thickTop="1" thickBot="1" x14ac:dyDescent="0.3">
      <c r="A64" s="6" t="s">
        <v>199</v>
      </c>
      <c r="B64" s="6"/>
      <c r="C64" s="6" t="s">
        <v>197</v>
      </c>
      <c r="D64" s="11">
        <v>5250</v>
      </c>
      <c r="E64" s="14"/>
      <c r="F64" s="12">
        <f t="shared" si="1"/>
        <v>0</v>
      </c>
    </row>
    <row r="65" spans="1:6" ht="20.25" thickTop="1" thickBot="1" x14ac:dyDescent="0.3">
      <c r="A65" s="6" t="s">
        <v>200</v>
      </c>
      <c r="B65" s="6"/>
      <c r="C65" s="6" t="s">
        <v>197</v>
      </c>
      <c r="D65" s="11">
        <v>5900</v>
      </c>
      <c r="E65" s="14"/>
      <c r="F65" s="12">
        <f t="shared" si="1"/>
        <v>0</v>
      </c>
    </row>
    <row r="66" spans="1:6" ht="20.25" thickTop="1" thickBot="1" x14ac:dyDescent="0.3">
      <c r="A66" s="6" t="s">
        <v>201</v>
      </c>
      <c r="B66" s="6"/>
      <c r="C66" s="6" t="s">
        <v>197</v>
      </c>
      <c r="D66" s="11">
        <v>6750</v>
      </c>
      <c r="E66" s="14"/>
      <c r="F66" s="12">
        <f t="shared" si="1"/>
        <v>0</v>
      </c>
    </row>
    <row r="67" spans="1:6" ht="20.25" thickTop="1" thickBot="1" x14ac:dyDescent="0.3">
      <c r="A67" s="6" t="s">
        <v>202</v>
      </c>
      <c r="B67" s="6"/>
      <c r="C67" s="6" t="s">
        <v>197</v>
      </c>
      <c r="D67" s="11">
        <v>7200</v>
      </c>
      <c r="E67" s="14"/>
      <c r="F67" s="12">
        <f t="shared" si="1"/>
        <v>0</v>
      </c>
    </row>
    <row r="68" spans="1:6" ht="20.25" thickTop="1" thickBot="1" x14ac:dyDescent="0.3">
      <c r="A68" s="53"/>
      <c r="B68" s="54"/>
      <c r="C68" s="54"/>
      <c r="D68" s="54"/>
      <c r="E68" s="54"/>
      <c r="F68" s="54"/>
    </row>
    <row r="69" spans="1:6" ht="20.25" thickTop="1" thickBot="1" x14ac:dyDescent="0.3">
      <c r="A69" s="6" t="s">
        <v>208</v>
      </c>
      <c r="B69" s="6"/>
      <c r="C69" s="6" t="s">
        <v>197</v>
      </c>
      <c r="D69" s="11">
        <v>6200</v>
      </c>
      <c r="E69" s="14"/>
      <c r="F69" s="12">
        <f t="shared" si="1"/>
        <v>0</v>
      </c>
    </row>
    <row r="70" spans="1:6" ht="20.25" thickTop="1" thickBot="1" x14ac:dyDescent="0.3">
      <c r="A70" s="6" t="s">
        <v>209</v>
      </c>
      <c r="B70" s="6"/>
      <c r="C70" s="6" t="s">
        <v>197</v>
      </c>
      <c r="D70" s="11">
        <v>6850</v>
      </c>
      <c r="E70" s="14"/>
      <c r="F70" s="12">
        <f t="shared" si="1"/>
        <v>0</v>
      </c>
    </row>
    <row r="71" spans="1:6" ht="20.25" thickTop="1" thickBot="1" x14ac:dyDescent="0.3">
      <c r="A71" s="6" t="s">
        <v>210</v>
      </c>
      <c r="B71" s="6"/>
      <c r="C71" s="6" t="s">
        <v>197</v>
      </c>
      <c r="D71" s="11">
        <v>7500</v>
      </c>
      <c r="E71" s="14"/>
      <c r="F71" s="12">
        <f t="shared" si="1"/>
        <v>0</v>
      </c>
    </row>
    <row r="72" spans="1:6" ht="20.25" thickTop="1" thickBot="1" x14ac:dyDescent="0.3">
      <c r="A72" s="6" t="s">
        <v>211</v>
      </c>
      <c r="B72" s="6"/>
      <c r="C72" s="6" t="s">
        <v>197</v>
      </c>
      <c r="D72" s="11">
        <v>8300</v>
      </c>
      <c r="E72" s="14"/>
      <c r="F72" s="12">
        <f t="shared" si="1"/>
        <v>0</v>
      </c>
    </row>
    <row r="73" spans="1:6" ht="20.25" thickTop="1" thickBot="1" x14ac:dyDescent="0.3">
      <c r="A73" s="6" t="s">
        <v>212</v>
      </c>
      <c r="B73" s="6"/>
      <c r="C73" s="6" t="s">
        <v>197</v>
      </c>
      <c r="D73" s="11">
        <v>8750</v>
      </c>
      <c r="E73" s="14"/>
      <c r="F73" s="12">
        <f t="shared" si="1"/>
        <v>0</v>
      </c>
    </row>
    <row r="74" spans="1:6" ht="20.25" thickTop="1" thickBot="1" x14ac:dyDescent="0.3">
      <c r="A74" s="53"/>
      <c r="B74" s="54"/>
      <c r="C74" s="54"/>
      <c r="D74" s="54"/>
      <c r="E74" s="54"/>
      <c r="F74" s="54"/>
    </row>
    <row r="75" spans="1:6" ht="20.25" thickTop="1" thickBot="1" x14ac:dyDescent="0.3">
      <c r="A75" s="6" t="s">
        <v>213</v>
      </c>
      <c r="B75" s="6"/>
      <c r="C75" s="6" t="s">
        <v>197</v>
      </c>
      <c r="D75" s="11">
        <v>7250</v>
      </c>
      <c r="E75" s="14"/>
      <c r="F75" s="12">
        <f t="shared" si="1"/>
        <v>0</v>
      </c>
    </row>
    <row r="76" spans="1:6" ht="20.25" thickTop="1" thickBot="1" x14ac:dyDescent="0.3">
      <c r="A76" s="6" t="s">
        <v>214</v>
      </c>
      <c r="B76" s="6"/>
      <c r="C76" s="6" t="s">
        <v>197</v>
      </c>
      <c r="D76" s="11">
        <v>7900</v>
      </c>
      <c r="E76" s="14"/>
      <c r="F76" s="12">
        <f t="shared" si="1"/>
        <v>0</v>
      </c>
    </row>
    <row r="77" spans="1:6" ht="20.25" thickTop="1" thickBot="1" x14ac:dyDescent="0.3">
      <c r="A77" s="6" t="s">
        <v>215</v>
      </c>
      <c r="B77" s="6"/>
      <c r="C77" s="6" t="s">
        <v>197</v>
      </c>
      <c r="D77" s="11">
        <v>8550</v>
      </c>
      <c r="E77" s="14"/>
      <c r="F77" s="12">
        <f t="shared" si="1"/>
        <v>0</v>
      </c>
    </row>
    <row r="78" spans="1:6" ht="20.25" thickTop="1" thickBot="1" x14ac:dyDescent="0.3">
      <c r="A78" s="6" t="s">
        <v>216</v>
      </c>
      <c r="B78" s="6"/>
      <c r="C78" s="6" t="s">
        <v>197</v>
      </c>
      <c r="D78" s="11">
        <v>9350</v>
      </c>
      <c r="E78" s="14"/>
      <c r="F78" s="12">
        <f t="shared" si="1"/>
        <v>0</v>
      </c>
    </row>
    <row r="79" spans="1:6" ht="20.25" thickTop="1" thickBot="1" x14ac:dyDescent="0.3">
      <c r="A79" s="6" t="s">
        <v>217</v>
      </c>
      <c r="B79" s="6"/>
      <c r="C79" s="6" t="s">
        <v>197</v>
      </c>
      <c r="D79" s="11">
        <v>9800</v>
      </c>
      <c r="E79" s="14"/>
      <c r="F79" s="12">
        <f t="shared" si="1"/>
        <v>0</v>
      </c>
    </row>
    <row r="80" spans="1:6" ht="20.25" thickTop="1" thickBot="1" x14ac:dyDescent="0.3">
      <c r="A80" s="6"/>
      <c r="B80" s="6"/>
      <c r="C80" s="6"/>
      <c r="D80" s="11"/>
      <c r="E80" s="14"/>
      <c r="F80" s="12"/>
    </row>
    <row r="81" spans="1:6" ht="20.25" thickTop="1" thickBot="1" x14ac:dyDescent="0.3">
      <c r="A81" s="44" t="s">
        <v>270</v>
      </c>
      <c r="B81" s="45"/>
      <c r="C81" s="45"/>
      <c r="D81" s="45"/>
      <c r="E81" s="45"/>
      <c r="F81" s="45"/>
    </row>
    <row r="82" spans="1:6" ht="20.25" customHeight="1" thickTop="1" thickBot="1" x14ac:dyDescent="0.3">
      <c r="A82" s="56" t="s">
        <v>293</v>
      </c>
      <c r="B82" s="57"/>
      <c r="C82" s="57"/>
      <c r="D82" s="57"/>
      <c r="E82" s="57"/>
      <c r="F82" s="57"/>
    </row>
    <row r="83" spans="1:6" ht="27.75" customHeight="1" thickTop="1" thickBot="1" x14ac:dyDescent="0.3">
      <c r="A83" s="6" t="s">
        <v>271</v>
      </c>
      <c r="B83" s="6"/>
      <c r="C83" s="6" t="s">
        <v>270</v>
      </c>
      <c r="D83" s="11">
        <v>4751</v>
      </c>
      <c r="E83" s="14"/>
      <c r="F83" s="12">
        <f t="shared" si="1"/>
        <v>0</v>
      </c>
    </row>
    <row r="84" spans="1:6" ht="41.25" customHeight="1" thickTop="1" thickBot="1" x14ac:dyDescent="0.3">
      <c r="A84" s="6" t="s">
        <v>272</v>
      </c>
      <c r="B84" s="6"/>
      <c r="C84" s="6" t="s">
        <v>270</v>
      </c>
      <c r="D84" s="11">
        <v>5250</v>
      </c>
      <c r="E84" s="14"/>
      <c r="F84" s="12">
        <f t="shared" si="1"/>
        <v>0</v>
      </c>
    </row>
    <row r="85" spans="1:6" ht="20.25" customHeight="1" thickTop="1" thickBot="1" x14ac:dyDescent="0.3">
      <c r="A85" s="6"/>
      <c r="B85" s="6"/>
      <c r="C85" s="6" t="s">
        <v>270</v>
      </c>
      <c r="D85" s="11"/>
      <c r="E85" s="14"/>
      <c r="F85" s="12">
        <f t="shared" si="1"/>
        <v>0</v>
      </c>
    </row>
    <row r="86" spans="1:6" ht="20.25" customHeight="1" thickTop="1" thickBot="1" x14ac:dyDescent="0.3">
      <c r="A86" s="6" t="s">
        <v>274</v>
      </c>
      <c r="B86" s="6"/>
      <c r="C86" s="6" t="s">
        <v>270</v>
      </c>
      <c r="D86" s="11">
        <v>5750</v>
      </c>
      <c r="E86" s="14">
        <v>0</v>
      </c>
      <c r="F86" s="12">
        <f t="shared" si="1"/>
        <v>0</v>
      </c>
    </row>
    <row r="87" spans="1:6" ht="20.25" customHeight="1" thickTop="1" thickBot="1" x14ac:dyDescent="0.3">
      <c r="A87" s="6" t="s">
        <v>273</v>
      </c>
      <c r="B87" s="6"/>
      <c r="C87" s="6" t="s">
        <v>270</v>
      </c>
      <c r="D87" s="11">
        <v>6250</v>
      </c>
      <c r="E87" s="14"/>
      <c r="F87" s="12">
        <f t="shared" si="1"/>
        <v>0</v>
      </c>
    </row>
    <row r="88" spans="1:6" ht="20.25" customHeight="1" thickTop="1" thickBot="1" x14ac:dyDescent="0.3">
      <c r="A88" s="6"/>
      <c r="B88" s="6"/>
      <c r="C88" s="6" t="s">
        <v>270</v>
      </c>
      <c r="D88" s="11"/>
      <c r="E88" s="14"/>
      <c r="F88" s="12">
        <f t="shared" si="1"/>
        <v>0</v>
      </c>
    </row>
    <row r="89" spans="1:6" ht="20.25" customHeight="1" thickTop="1" thickBot="1" x14ac:dyDescent="0.3">
      <c r="A89" s="6" t="s">
        <v>275</v>
      </c>
      <c r="B89" s="6"/>
      <c r="C89" s="6" t="s">
        <v>270</v>
      </c>
      <c r="D89" s="11">
        <v>6250</v>
      </c>
      <c r="E89" s="14"/>
      <c r="F89" s="12">
        <f t="shared" si="1"/>
        <v>0</v>
      </c>
    </row>
    <row r="90" spans="1:6" ht="20.25" customHeight="1" thickTop="1" thickBot="1" x14ac:dyDescent="0.3">
      <c r="A90" s="6" t="s">
        <v>276</v>
      </c>
      <c r="B90" s="6"/>
      <c r="C90" s="6" t="s">
        <v>270</v>
      </c>
      <c r="D90" s="11">
        <v>6750</v>
      </c>
      <c r="E90" s="14"/>
      <c r="F90" s="12">
        <f t="shared" si="1"/>
        <v>0</v>
      </c>
    </row>
    <row r="91" spans="1:6" ht="20.25" customHeight="1" thickTop="1" thickBot="1" x14ac:dyDescent="0.3">
      <c r="A91" s="6"/>
      <c r="B91" s="6"/>
      <c r="C91" s="6" t="s">
        <v>270</v>
      </c>
      <c r="D91" s="11"/>
      <c r="E91" s="14"/>
      <c r="F91" s="12">
        <f t="shared" si="1"/>
        <v>0</v>
      </c>
    </row>
    <row r="92" spans="1:6" ht="20.25" customHeight="1" thickTop="1" thickBot="1" x14ac:dyDescent="0.3">
      <c r="A92" s="6" t="s">
        <v>277</v>
      </c>
      <c r="B92" s="6"/>
      <c r="C92" s="6" t="s">
        <v>270</v>
      </c>
      <c r="D92" s="11">
        <v>5050</v>
      </c>
      <c r="E92" s="14"/>
      <c r="F92" s="12">
        <f t="shared" si="1"/>
        <v>0</v>
      </c>
    </row>
    <row r="93" spans="1:6" ht="20.25" customHeight="1" thickTop="1" thickBot="1" x14ac:dyDescent="0.3">
      <c r="A93" s="6" t="s">
        <v>278</v>
      </c>
      <c r="B93" s="6"/>
      <c r="C93" s="6" t="s">
        <v>270</v>
      </c>
      <c r="D93" s="11">
        <v>5550</v>
      </c>
      <c r="E93" s="14"/>
      <c r="F93" s="12">
        <f t="shared" si="1"/>
        <v>0</v>
      </c>
    </row>
    <row r="94" spans="1:6" ht="20.25" customHeight="1" thickTop="1" thickBot="1" x14ac:dyDescent="0.3">
      <c r="A94" s="6"/>
      <c r="B94" s="6"/>
      <c r="C94" s="6" t="s">
        <v>270</v>
      </c>
      <c r="D94" s="11"/>
      <c r="E94" s="14"/>
      <c r="F94" s="12">
        <f t="shared" si="1"/>
        <v>0</v>
      </c>
    </row>
    <row r="95" spans="1:6" ht="20.25" customHeight="1" thickTop="1" thickBot="1" x14ac:dyDescent="0.3">
      <c r="A95" s="6" t="s">
        <v>279</v>
      </c>
      <c r="B95" s="6"/>
      <c r="C95" s="6" t="s">
        <v>270</v>
      </c>
      <c r="D95" s="11">
        <v>6050</v>
      </c>
      <c r="E95" s="14"/>
      <c r="F95" s="12">
        <f t="shared" si="1"/>
        <v>0</v>
      </c>
    </row>
    <row r="96" spans="1:6" ht="20.25" customHeight="1" thickTop="1" thickBot="1" x14ac:dyDescent="0.3">
      <c r="A96" s="6" t="s">
        <v>280</v>
      </c>
      <c r="B96" s="6"/>
      <c r="C96" s="6" t="s">
        <v>270</v>
      </c>
      <c r="D96" s="11">
        <v>6550</v>
      </c>
      <c r="E96" s="14"/>
      <c r="F96" s="12">
        <f t="shared" si="1"/>
        <v>0</v>
      </c>
    </row>
    <row r="97" spans="1:6" ht="20.25" customHeight="1" thickTop="1" thickBot="1" x14ac:dyDescent="0.3">
      <c r="A97" s="6"/>
      <c r="B97" s="6"/>
      <c r="C97" s="6" t="s">
        <v>270</v>
      </c>
      <c r="D97" s="11"/>
      <c r="E97" s="14"/>
      <c r="F97" s="12">
        <f t="shared" si="1"/>
        <v>0</v>
      </c>
    </row>
    <row r="98" spans="1:6" ht="20.25" customHeight="1" thickTop="1" thickBot="1" x14ac:dyDescent="0.3">
      <c r="A98" s="6" t="s">
        <v>281</v>
      </c>
      <c r="B98" s="6"/>
      <c r="C98" s="6" t="s">
        <v>270</v>
      </c>
      <c r="D98" s="11">
        <v>6550</v>
      </c>
      <c r="E98" s="14"/>
      <c r="F98" s="12">
        <f t="shared" si="1"/>
        <v>0</v>
      </c>
    </row>
    <row r="99" spans="1:6" ht="20.25" customHeight="1" thickTop="1" thickBot="1" x14ac:dyDescent="0.3">
      <c r="A99" s="6" t="s">
        <v>282</v>
      </c>
      <c r="B99" s="6"/>
      <c r="C99" s="6" t="s">
        <v>270</v>
      </c>
      <c r="D99" s="11">
        <v>7050</v>
      </c>
      <c r="E99" s="14"/>
      <c r="F99" s="12">
        <f t="shared" si="1"/>
        <v>0</v>
      </c>
    </row>
    <row r="100" spans="1:6" ht="20.25" customHeight="1" thickTop="1" thickBot="1" x14ac:dyDescent="0.3">
      <c r="A100" s="6"/>
      <c r="B100" s="6"/>
      <c r="C100" s="6" t="s">
        <v>270</v>
      </c>
      <c r="D100" s="11"/>
      <c r="E100" s="14"/>
      <c r="F100" s="12">
        <f t="shared" si="1"/>
        <v>0</v>
      </c>
    </row>
    <row r="101" spans="1:6" ht="48.75" customHeight="1" thickTop="1" thickBot="1" x14ac:dyDescent="0.3">
      <c r="A101" s="6" t="s">
        <v>283</v>
      </c>
      <c r="B101" s="6"/>
      <c r="C101" s="6" t="s">
        <v>270</v>
      </c>
      <c r="D101" s="11">
        <v>7050</v>
      </c>
      <c r="E101" s="14"/>
      <c r="F101" s="12">
        <f t="shared" si="1"/>
        <v>0</v>
      </c>
    </row>
    <row r="102" spans="1:6" ht="41.25" customHeight="1" thickTop="1" thickBot="1" x14ac:dyDescent="0.3">
      <c r="A102" s="6" t="s">
        <v>284</v>
      </c>
      <c r="B102" s="6"/>
      <c r="C102" s="6" t="s">
        <v>270</v>
      </c>
      <c r="D102" s="11">
        <v>7550</v>
      </c>
      <c r="E102" s="14"/>
      <c r="F102" s="12">
        <f t="shared" si="1"/>
        <v>0</v>
      </c>
    </row>
    <row r="103" spans="1:6" ht="20.25" customHeight="1" thickTop="1" thickBot="1" x14ac:dyDescent="0.3">
      <c r="A103" s="6"/>
      <c r="B103" s="6"/>
      <c r="C103" s="6" t="s">
        <v>270</v>
      </c>
      <c r="D103" s="11"/>
      <c r="E103" s="14"/>
      <c r="F103" s="12">
        <f t="shared" si="1"/>
        <v>0</v>
      </c>
    </row>
    <row r="104" spans="1:6" ht="20.25" customHeight="1" thickTop="1" thickBot="1" x14ac:dyDescent="0.3">
      <c r="A104" s="6" t="s">
        <v>285</v>
      </c>
      <c r="B104" s="6"/>
      <c r="C104" s="6" t="s">
        <v>270</v>
      </c>
      <c r="D104" s="11">
        <v>5450</v>
      </c>
      <c r="E104" s="14"/>
      <c r="F104" s="12">
        <f t="shared" si="1"/>
        <v>0</v>
      </c>
    </row>
    <row r="105" spans="1:6" ht="42" customHeight="1" thickTop="1" thickBot="1" x14ac:dyDescent="0.3">
      <c r="A105" s="6" t="s">
        <v>286</v>
      </c>
      <c r="B105" s="6"/>
      <c r="C105" s="6" t="s">
        <v>270</v>
      </c>
      <c r="D105" s="11">
        <v>5950</v>
      </c>
      <c r="E105" s="14"/>
      <c r="F105" s="12">
        <f t="shared" si="1"/>
        <v>0</v>
      </c>
    </row>
    <row r="106" spans="1:6" ht="20.25" customHeight="1" thickTop="1" thickBot="1" x14ac:dyDescent="0.3">
      <c r="A106" s="6"/>
      <c r="B106" s="6"/>
      <c r="C106" s="6" t="s">
        <v>270</v>
      </c>
      <c r="D106" s="11"/>
      <c r="E106" s="14"/>
      <c r="F106" s="12">
        <f t="shared" si="1"/>
        <v>0</v>
      </c>
    </row>
    <row r="107" spans="1:6" ht="43.5" customHeight="1" thickTop="1" thickBot="1" x14ac:dyDescent="0.3">
      <c r="A107" s="6" t="s">
        <v>287</v>
      </c>
      <c r="B107" s="6"/>
      <c r="C107" s="6" t="s">
        <v>270</v>
      </c>
      <c r="D107" s="11">
        <v>6950</v>
      </c>
      <c r="E107" s="14"/>
      <c r="F107" s="12">
        <f t="shared" si="1"/>
        <v>0</v>
      </c>
    </row>
    <row r="108" spans="1:6" ht="34.5" customHeight="1" thickTop="1" thickBot="1" x14ac:dyDescent="0.3">
      <c r="A108" s="6" t="s">
        <v>288</v>
      </c>
      <c r="B108" s="6"/>
      <c r="C108" s="6" t="s">
        <v>270</v>
      </c>
      <c r="D108" s="11">
        <v>7450</v>
      </c>
      <c r="E108" s="14"/>
      <c r="F108" s="12">
        <f t="shared" si="1"/>
        <v>0</v>
      </c>
    </row>
    <row r="109" spans="1:6" ht="20.25" customHeight="1" thickTop="1" thickBot="1" x14ac:dyDescent="0.3">
      <c r="A109" s="56" t="s">
        <v>294</v>
      </c>
      <c r="B109" s="57"/>
      <c r="C109" s="57"/>
      <c r="D109" s="57"/>
      <c r="E109" s="57"/>
      <c r="F109" s="57"/>
    </row>
    <row r="110" spans="1:6" ht="20.25" customHeight="1" thickTop="1" thickBot="1" x14ac:dyDescent="0.3">
      <c r="A110" s="6" t="s">
        <v>289</v>
      </c>
      <c r="B110" s="6"/>
      <c r="C110" s="6" t="s">
        <v>270</v>
      </c>
      <c r="D110" s="11">
        <v>6700</v>
      </c>
      <c r="E110" s="14"/>
      <c r="F110" s="13">
        <f>D110*E110</f>
        <v>0</v>
      </c>
    </row>
    <row r="111" spans="1:6" ht="20.25" customHeight="1" thickTop="1" thickBot="1" x14ac:dyDescent="0.3">
      <c r="A111" s="6" t="s">
        <v>290</v>
      </c>
      <c r="B111" s="6"/>
      <c r="C111" s="6" t="s">
        <v>270</v>
      </c>
      <c r="D111" s="11">
        <v>6900</v>
      </c>
      <c r="E111" s="14"/>
      <c r="F111" s="13">
        <f>D111*E111</f>
        <v>0</v>
      </c>
    </row>
    <row r="112" spans="1:6" ht="20.25" customHeight="1" thickTop="1" thickBot="1" x14ac:dyDescent="0.3">
      <c r="A112" s="6" t="s">
        <v>291</v>
      </c>
      <c r="B112" s="6"/>
      <c r="C112" s="6" t="s">
        <v>270</v>
      </c>
      <c r="D112" s="11">
        <v>6300</v>
      </c>
      <c r="E112" s="14"/>
      <c r="F112" s="13">
        <f>D112*E112</f>
        <v>0</v>
      </c>
    </row>
    <row r="113" spans="1:6" ht="20.25" customHeight="1" thickTop="1" thickBot="1" x14ac:dyDescent="0.3">
      <c r="A113" s="6" t="s">
        <v>292</v>
      </c>
      <c r="B113" s="6"/>
      <c r="C113" s="6" t="s">
        <v>270</v>
      </c>
      <c r="D113" s="11">
        <v>6500</v>
      </c>
      <c r="E113" s="14"/>
      <c r="F113" s="13">
        <f>D113*E113</f>
        <v>0</v>
      </c>
    </row>
    <row r="114" spans="1:6" ht="20.25" customHeight="1" thickTop="1" thickBot="1" x14ac:dyDescent="0.3">
      <c r="A114" s="56" t="s">
        <v>295</v>
      </c>
      <c r="B114" s="57"/>
      <c r="C114" s="57"/>
      <c r="D114" s="57"/>
      <c r="E114" s="57"/>
      <c r="F114" s="57"/>
    </row>
    <row r="115" spans="1:6" ht="20.25" customHeight="1" thickTop="1" thickBot="1" x14ac:dyDescent="0.3">
      <c r="A115" s="6" t="s">
        <v>296</v>
      </c>
      <c r="B115" s="6"/>
      <c r="C115" s="6" t="s">
        <v>270</v>
      </c>
      <c r="D115" s="11">
        <v>13200</v>
      </c>
      <c r="E115" s="14"/>
      <c r="F115" s="13">
        <f>E115*D115</f>
        <v>0</v>
      </c>
    </row>
    <row r="116" spans="1:6" ht="39" thickTop="1" thickBot="1" x14ac:dyDescent="0.3">
      <c r="A116" s="6" t="s">
        <v>297</v>
      </c>
      <c r="B116" s="6"/>
      <c r="C116" s="6" t="s">
        <v>270</v>
      </c>
      <c r="D116" s="11">
        <v>16000</v>
      </c>
      <c r="E116" s="14"/>
      <c r="F116" s="13">
        <f t="shared" ref="F116:F121" si="3">E116*D116</f>
        <v>0</v>
      </c>
    </row>
    <row r="117" spans="1:6" ht="132.75" thickTop="1" thickBot="1" x14ac:dyDescent="0.3">
      <c r="A117" s="6" t="s">
        <v>298</v>
      </c>
      <c r="B117" s="6"/>
      <c r="C117" s="6" t="s">
        <v>270</v>
      </c>
      <c r="D117" s="11">
        <v>16220</v>
      </c>
      <c r="E117" s="14"/>
      <c r="F117" s="13">
        <f t="shared" si="3"/>
        <v>0</v>
      </c>
    </row>
    <row r="118" spans="1:6" ht="20.25" thickTop="1" thickBot="1" x14ac:dyDescent="0.3">
      <c r="A118" s="6" t="s">
        <v>299</v>
      </c>
      <c r="B118" s="6"/>
      <c r="C118" s="6" t="s">
        <v>270</v>
      </c>
      <c r="D118" s="11">
        <v>16850</v>
      </c>
      <c r="E118" s="14"/>
      <c r="F118" s="13">
        <f t="shared" si="3"/>
        <v>0</v>
      </c>
    </row>
    <row r="119" spans="1:6" ht="57.75" thickTop="1" thickBot="1" x14ac:dyDescent="0.3">
      <c r="A119" s="6" t="s">
        <v>300</v>
      </c>
      <c r="B119" s="6"/>
      <c r="C119" s="6" t="s">
        <v>270</v>
      </c>
      <c r="D119" s="11">
        <v>17160</v>
      </c>
      <c r="E119" s="14"/>
      <c r="F119" s="13">
        <f t="shared" si="3"/>
        <v>0</v>
      </c>
    </row>
    <row r="120" spans="1:6" ht="39" thickTop="1" thickBot="1" x14ac:dyDescent="0.3">
      <c r="A120" s="6" t="s">
        <v>301</v>
      </c>
      <c r="B120" s="6"/>
      <c r="C120" s="6" t="s">
        <v>270</v>
      </c>
      <c r="D120" s="11">
        <v>17520</v>
      </c>
      <c r="E120" s="14"/>
      <c r="F120" s="13">
        <f t="shared" si="3"/>
        <v>0</v>
      </c>
    </row>
    <row r="121" spans="1:6" ht="20.25" thickTop="1" thickBot="1" x14ac:dyDescent="0.3">
      <c r="A121" s="6" t="s">
        <v>302</v>
      </c>
      <c r="B121" s="6"/>
      <c r="C121" s="6" t="s">
        <v>270</v>
      </c>
      <c r="D121" s="11">
        <v>20180</v>
      </c>
      <c r="E121" s="14"/>
      <c r="F121" s="13">
        <f t="shared" si="3"/>
        <v>0</v>
      </c>
    </row>
    <row r="122" spans="1:6" ht="22.5" thickTop="1" thickBot="1" x14ac:dyDescent="0.3">
      <c r="A122" s="49" t="s">
        <v>232</v>
      </c>
      <c r="B122" s="50"/>
      <c r="C122" s="50"/>
      <c r="D122" s="50"/>
      <c r="E122" s="50"/>
      <c r="F122" s="50"/>
    </row>
    <row r="123" spans="1:6" ht="20.25" thickTop="1" thickBot="1" x14ac:dyDescent="0.3">
      <c r="A123" s="6" t="s">
        <v>219</v>
      </c>
      <c r="B123" s="6"/>
      <c r="C123" s="6" t="s">
        <v>218</v>
      </c>
      <c r="D123" s="11">
        <v>9600</v>
      </c>
      <c r="E123" s="14"/>
      <c r="F123" s="12">
        <f t="shared" si="1"/>
        <v>0</v>
      </c>
    </row>
    <row r="124" spans="1:6" ht="20.25" thickTop="1" thickBot="1" x14ac:dyDescent="0.3">
      <c r="A124" s="6" t="s">
        <v>220</v>
      </c>
      <c r="B124" s="6"/>
      <c r="C124" s="6" t="s">
        <v>218</v>
      </c>
      <c r="D124" s="11">
        <v>14400</v>
      </c>
      <c r="E124" s="14"/>
      <c r="F124" s="12">
        <f t="shared" si="1"/>
        <v>0</v>
      </c>
    </row>
    <row r="125" spans="1:6" ht="20.25" thickTop="1" thickBot="1" x14ac:dyDescent="0.3">
      <c r="A125" s="6" t="s">
        <v>221</v>
      </c>
      <c r="B125" s="6"/>
      <c r="C125" s="6" t="s">
        <v>218</v>
      </c>
      <c r="D125" s="11">
        <v>14500</v>
      </c>
      <c r="E125" s="14"/>
      <c r="F125" s="12">
        <f t="shared" si="1"/>
        <v>0</v>
      </c>
    </row>
    <row r="126" spans="1:6" ht="39" thickTop="1" thickBot="1" x14ac:dyDescent="0.3">
      <c r="A126" s="6" t="s">
        <v>225</v>
      </c>
      <c r="B126" s="6"/>
      <c r="C126" s="6" t="s">
        <v>218</v>
      </c>
      <c r="D126" s="11">
        <v>17400</v>
      </c>
      <c r="E126" s="14"/>
      <c r="F126" s="12">
        <f t="shared" si="1"/>
        <v>0</v>
      </c>
    </row>
    <row r="127" spans="1:6" ht="20.25" thickTop="1" thickBot="1" x14ac:dyDescent="0.3">
      <c r="A127" s="6" t="s">
        <v>222</v>
      </c>
      <c r="B127" s="6"/>
      <c r="C127" s="6" t="s">
        <v>218</v>
      </c>
      <c r="D127" s="11">
        <v>0</v>
      </c>
      <c r="E127" s="14"/>
      <c r="F127" s="12">
        <f t="shared" si="1"/>
        <v>0</v>
      </c>
    </row>
    <row r="128" spans="1:6" ht="20.25" thickTop="1" thickBot="1" x14ac:dyDescent="0.3">
      <c r="A128" s="6" t="s">
        <v>223</v>
      </c>
      <c r="B128" s="6"/>
      <c r="C128" s="6" t="s">
        <v>218</v>
      </c>
      <c r="D128" s="11">
        <v>0</v>
      </c>
      <c r="E128" s="14"/>
      <c r="F128" s="12">
        <f t="shared" si="1"/>
        <v>0</v>
      </c>
    </row>
    <row r="129" spans="1:6" ht="20.25" thickTop="1" thickBot="1" x14ac:dyDescent="0.3">
      <c r="A129" s="6" t="s">
        <v>224</v>
      </c>
      <c r="B129" s="6"/>
      <c r="C129" s="6" t="s">
        <v>218</v>
      </c>
      <c r="D129" s="11">
        <v>0</v>
      </c>
      <c r="E129" s="14"/>
      <c r="F129" s="12">
        <f t="shared" si="1"/>
        <v>0</v>
      </c>
    </row>
    <row r="130" spans="1:6" ht="39" thickTop="1" thickBot="1" x14ac:dyDescent="0.3">
      <c r="A130" s="6" t="s">
        <v>226</v>
      </c>
      <c r="B130" s="6"/>
      <c r="C130" s="6" t="s">
        <v>218</v>
      </c>
      <c r="D130" s="11">
        <v>0</v>
      </c>
      <c r="E130" s="14"/>
      <c r="F130" s="12">
        <f t="shared" si="1"/>
        <v>0</v>
      </c>
    </row>
    <row r="131" spans="1:6" ht="20.25" thickTop="1" thickBot="1" x14ac:dyDescent="0.3">
      <c r="A131" s="6" t="s">
        <v>313</v>
      </c>
      <c r="B131" s="6"/>
      <c r="C131" s="6" t="s">
        <v>218</v>
      </c>
      <c r="D131" s="11">
        <v>80000</v>
      </c>
      <c r="E131" s="14"/>
      <c r="F131" s="13">
        <f t="shared" si="1"/>
        <v>0</v>
      </c>
    </row>
    <row r="132" spans="1:6" ht="24.75" thickTop="1" thickBot="1" x14ac:dyDescent="0.3">
      <c r="A132" s="46" t="s">
        <v>140</v>
      </c>
      <c r="B132" s="47"/>
      <c r="C132" s="47"/>
      <c r="D132" s="47"/>
      <c r="E132" s="47"/>
      <c r="F132" s="47"/>
    </row>
    <row r="133" spans="1:6" ht="20.25" thickTop="1" thickBot="1" x14ac:dyDescent="0.3">
      <c r="A133" s="6" t="s">
        <v>140</v>
      </c>
      <c r="B133" s="6"/>
      <c r="C133" s="6"/>
      <c r="D133" s="11">
        <v>11000</v>
      </c>
      <c r="E133" s="14">
        <v>0</v>
      </c>
      <c r="F133" s="13">
        <f>D133*E133</f>
        <v>0</v>
      </c>
    </row>
    <row r="134" spans="1:6" ht="22.5" thickTop="1" thickBot="1" x14ac:dyDescent="0.3">
      <c r="A134" s="58" t="s">
        <v>309</v>
      </c>
      <c r="B134" s="59"/>
      <c r="C134" s="59"/>
      <c r="D134" s="59"/>
      <c r="E134" s="59"/>
      <c r="F134" s="60"/>
    </row>
    <row r="135" spans="1:6" ht="20.25" thickTop="1" thickBot="1" x14ac:dyDescent="0.3">
      <c r="A135" s="6" t="s">
        <v>159</v>
      </c>
      <c r="B135" s="6"/>
      <c r="C135" s="6"/>
      <c r="D135" s="11">
        <v>4250</v>
      </c>
      <c r="E135" s="28"/>
      <c r="F135" s="12">
        <f>D135*E135</f>
        <v>0</v>
      </c>
    </row>
    <row r="136" spans="1:6" ht="20.25" thickTop="1" thickBot="1" x14ac:dyDescent="0.3">
      <c r="A136" s="6" t="s">
        <v>160</v>
      </c>
      <c r="B136" s="6"/>
      <c r="C136" s="6"/>
      <c r="D136" s="11">
        <v>2000</v>
      </c>
      <c r="E136" s="28"/>
      <c r="F136" s="12">
        <f>D136*E136</f>
        <v>0</v>
      </c>
    </row>
    <row r="137" spans="1:6" ht="20.25" thickTop="1" thickBot="1" x14ac:dyDescent="0.3">
      <c r="A137" s="6" t="s">
        <v>161</v>
      </c>
      <c r="B137" s="6"/>
      <c r="C137" s="6"/>
      <c r="D137" s="11">
        <v>2500</v>
      </c>
      <c r="E137" s="28">
        <v>0</v>
      </c>
      <c r="F137" s="12">
        <f>D137*E137</f>
        <v>0</v>
      </c>
    </row>
    <row r="138" spans="1:6" ht="20.25" thickTop="1" thickBot="1" x14ac:dyDescent="0.3">
      <c r="A138" s="6" t="s">
        <v>310</v>
      </c>
      <c r="B138" s="6"/>
      <c r="C138" s="6"/>
      <c r="D138" s="11"/>
      <c r="E138" s="28"/>
      <c r="F138" s="13"/>
    </row>
    <row r="139" spans="1:6" ht="20.25" thickTop="1" thickBot="1" x14ac:dyDescent="0.3">
      <c r="A139" s="6" t="s">
        <v>311</v>
      </c>
      <c r="B139" s="6"/>
      <c r="C139" s="6"/>
      <c r="D139" s="11"/>
      <c r="E139" s="28"/>
      <c r="F139" s="13"/>
    </row>
    <row r="140" spans="1:6" ht="20.25" thickTop="1" thickBot="1" x14ac:dyDescent="0.3">
      <c r="A140" s="6" t="s">
        <v>312</v>
      </c>
      <c r="B140" s="6"/>
      <c r="C140" s="6"/>
      <c r="D140" s="11"/>
      <c r="E140" s="28"/>
      <c r="F140" s="13"/>
    </row>
    <row r="141" spans="1:6" ht="24.75" thickTop="1" thickBot="1" x14ac:dyDescent="0.3">
      <c r="A141" s="46" t="s">
        <v>37</v>
      </c>
      <c r="B141" s="47"/>
      <c r="C141" s="47"/>
      <c r="D141" s="47"/>
      <c r="E141" s="47"/>
      <c r="F141" s="48"/>
    </row>
    <row r="142" spans="1:6" ht="22.5" thickTop="1" thickBot="1" x14ac:dyDescent="0.3">
      <c r="A142" s="49" t="s">
        <v>46</v>
      </c>
      <c r="B142" s="50"/>
      <c r="C142" s="50"/>
      <c r="D142" s="50"/>
      <c r="E142" s="50"/>
      <c r="F142" s="55"/>
    </row>
    <row r="143" spans="1:6" ht="20.25" thickTop="1" thickBot="1" x14ac:dyDescent="0.3">
      <c r="A143" s="6" t="s">
        <v>325</v>
      </c>
      <c r="B143" s="6"/>
      <c r="C143" s="6" t="s">
        <v>189</v>
      </c>
      <c r="D143" s="11">
        <v>165</v>
      </c>
      <c r="E143" s="14">
        <v>10</v>
      </c>
      <c r="F143" s="12">
        <f>D143*E143</f>
        <v>1650</v>
      </c>
    </row>
    <row r="144" spans="1:6" ht="20.25" thickTop="1" thickBot="1" x14ac:dyDescent="0.3">
      <c r="A144" s="6" t="s">
        <v>330</v>
      </c>
      <c r="B144" s="6"/>
      <c r="C144" s="6" t="s">
        <v>189</v>
      </c>
      <c r="D144" s="11">
        <v>165</v>
      </c>
      <c r="E144" s="14"/>
      <c r="F144" s="12">
        <f>D144*E144</f>
        <v>0</v>
      </c>
    </row>
    <row r="145" spans="1:6" ht="20.25" thickTop="1" thickBot="1" x14ac:dyDescent="0.3">
      <c r="A145" s="6" t="s">
        <v>326</v>
      </c>
      <c r="B145" s="6"/>
      <c r="C145" s="6" t="s">
        <v>189</v>
      </c>
      <c r="D145" s="11">
        <v>145</v>
      </c>
      <c r="E145" s="14">
        <v>6</v>
      </c>
      <c r="F145" s="12"/>
    </row>
    <row r="146" spans="1:6" ht="20.25" thickTop="1" thickBot="1" x14ac:dyDescent="0.3">
      <c r="A146" s="6" t="s">
        <v>327</v>
      </c>
      <c r="B146" s="6"/>
      <c r="C146" s="6" t="s">
        <v>189</v>
      </c>
      <c r="D146" s="11">
        <v>310</v>
      </c>
      <c r="E146" s="14"/>
      <c r="F146" s="12">
        <f>D146*E146</f>
        <v>0</v>
      </c>
    </row>
    <row r="147" spans="1:6" ht="39" thickTop="1" thickBot="1" x14ac:dyDescent="0.3">
      <c r="A147" s="6" t="s">
        <v>328</v>
      </c>
      <c r="B147" s="6"/>
      <c r="C147" s="6" t="s">
        <v>189</v>
      </c>
      <c r="D147" s="11">
        <v>170</v>
      </c>
      <c r="E147" s="14"/>
      <c r="F147" s="12"/>
    </row>
    <row r="148" spans="1:6" ht="39" thickTop="1" thickBot="1" x14ac:dyDescent="0.3">
      <c r="A148" s="6" t="s">
        <v>329</v>
      </c>
      <c r="B148" s="6"/>
      <c r="C148" s="6" t="s">
        <v>189</v>
      </c>
      <c r="D148" s="11">
        <v>157</v>
      </c>
      <c r="E148" s="14"/>
      <c r="F148" s="12"/>
    </row>
    <row r="149" spans="1:6" ht="39" thickTop="1" thickBot="1" x14ac:dyDescent="0.3">
      <c r="A149" s="6" t="s">
        <v>78</v>
      </c>
      <c r="B149" s="6"/>
      <c r="C149" s="6" t="s">
        <v>189</v>
      </c>
      <c r="D149" s="11">
        <v>150</v>
      </c>
      <c r="E149" s="14"/>
      <c r="F149" s="12">
        <f>D149*E149</f>
        <v>0</v>
      </c>
    </row>
    <row r="150" spans="1:6" ht="22.5" thickTop="1" thickBot="1" x14ac:dyDescent="0.3">
      <c r="A150" s="49" t="s">
        <v>45</v>
      </c>
      <c r="B150" s="50"/>
      <c r="C150" s="50"/>
      <c r="D150" s="50"/>
      <c r="E150" s="50"/>
      <c r="F150" s="55"/>
    </row>
    <row r="151" spans="1:6" ht="20.25" thickTop="1" thickBot="1" x14ac:dyDescent="0.3">
      <c r="A151" s="6" t="s">
        <v>331</v>
      </c>
      <c r="B151" s="6"/>
      <c r="C151" s="6" t="s">
        <v>189</v>
      </c>
      <c r="D151" s="11">
        <v>490</v>
      </c>
      <c r="E151" s="14">
        <v>0</v>
      </c>
      <c r="F151" s="12">
        <f>D151*E151</f>
        <v>0</v>
      </c>
    </row>
    <row r="152" spans="1:6" ht="20.25" thickTop="1" thickBot="1" x14ac:dyDescent="0.3">
      <c r="A152" s="6" t="s">
        <v>332</v>
      </c>
      <c r="B152" s="6"/>
      <c r="C152" s="6" t="s">
        <v>189</v>
      </c>
      <c r="D152" s="11">
        <v>584</v>
      </c>
      <c r="E152" s="14"/>
      <c r="F152" s="12">
        <f t="shared" ref="F152:F158" si="4">D152*E152</f>
        <v>0</v>
      </c>
    </row>
    <row r="153" spans="1:6" ht="20.25" thickTop="1" thickBot="1" x14ac:dyDescent="0.3">
      <c r="A153" s="6" t="s">
        <v>333</v>
      </c>
      <c r="B153" s="6"/>
      <c r="C153" s="6" t="s">
        <v>189</v>
      </c>
      <c r="D153" s="11">
        <v>590</v>
      </c>
      <c r="E153" s="14"/>
      <c r="F153" s="12">
        <f t="shared" si="4"/>
        <v>0</v>
      </c>
    </row>
    <row r="154" spans="1:6" ht="20.25" thickTop="1" thickBot="1" x14ac:dyDescent="0.3">
      <c r="A154" s="6" t="s">
        <v>334</v>
      </c>
      <c r="B154" s="6"/>
      <c r="C154" s="6" t="s">
        <v>189</v>
      </c>
      <c r="D154" s="11">
        <v>951</v>
      </c>
      <c r="E154" s="14"/>
      <c r="F154" s="12">
        <f t="shared" si="4"/>
        <v>0</v>
      </c>
    </row>
    <row r="155" spans="1:6" ht="20.25" thickTop="1" thickBot="1" x14ac:dyDescent="0.3">
      <c r="A155" s="6" t="s">
        <v>335</v>
      </c>
      <c r="B155" s="6"/>
      <c r="C155" s="6" t="s">
        <v>189</v>
      </c>
      <c r="D155" s="11">
        <v>975</v>
      </c>
      <c r="E155" s="14"/>
      <c r="F155" s="12">
        <f t="shared" si="4"/>
        <v>0</v>
      </c>
    </row>
    <row r="156" spans="1:6" ht="20.25" thickTop="1" thickBot="1" x14ac:dyDescent="0.3">
      <c r="A156" s="6" t="s">
        <v>336</v>
      </c>
      <c r="B156" s="6"/>
      <c r="C156" s="6" t="s">
        <v>189</v>
      </c>
      <c r="D156" s="11">
        <v>1701</v>
      </c>
      <c r="E156" s="28">
        <v>0</v>
      </c>
      <c r="F156" s="12">
        <f t="shared" si="4"/>
        <v>0</v>
      </c>
    </row>
    <row r="157" spans="1:6" ht="39" thickTop="1" thickBot="1" x14ac:dyDescent="0.3">
      <c r="A157" s="6" t="s">
        <v>337</v>
      </c>
      <c r="B157" s="6"/>
      <c r="C157" s="6" t="s">
        <v>189</v>
      </c>
      <c r="D157" s="11">
        <v>462</v>
      </c>
      <c r="E157" s="28"/>
      <c r="F157" s="12">
        <f t="shared" si="4"/>
        <v>0</v>
      </c>
    </row>
    <row r="158" spans="1:6" ht="39" thickTop="1" thickBot="1" x14ac:dyDescent="0.3">
      <c r="A158" s="6" t="s">
        <v>338</v>
      </c>
      <c r="B158" s="6"/>
      <c r="C158" s="6" t="s">
        <v>189</v>
      </c>
      <c r="D158" s="11">
        <v>589</v>
      </c>
      <c r="E158" s="14">
        <v>0</v>
      </c>
      <c r="F158" s="12">
        <f t="shared" si="4"/>
        <v>0</v>
      </c>
    </row>
    <row r="159" spans="1:6" ht="24.75" thickTop="1" thickBot="1" x14ac:dyDescent="0.3">
      <c r="A159" s="61" t="s">
        <v>233</v>
      </c>
      <c r="B159" s="62"/>
      <c r="C159" s="62"/>
      <c r="D159" s="62"/>
      <c r="E159" s="62"/>
      <c r="F159" s="62"/>
    </row>
    <row r="160" spans="1:6" ht="20.25" thickTop="1" thickBot="1" x14ac:dyDescent="0.3">
      <c r="A160" s="6" t="s">
        <v>234</v>
      </c>
      <c r="B160" s="6"/>
      <c r="C160" s="6" t="s">
        <v>260</v>
      </c>
      <c r="D160" s="11">
        <v>357</v>
      </c>
      <c r="E160" s="14"/>
      <c r="F160" s="13">
        <f>E160*D160</f>
        <v>0</v>
      </c>
    </row>
    <row r="161" spans="1:6" ht="20.25" thickTop="1" thickBot="1" x14ac:dyDescent="0.3">
      <c r="A161" s="6" t="s">
        <v>235</v>
      </c>
      <c r="B161" s="6"/>
      <c r="C161" s="6" t="s">
        <v>260</v>
      </c>
      <c r="D161" s="11">
        <v>407</v>
      </c>
      <c r="E161" s="14"/>
      <c r="F161" s="13">
        <f t="shared" ref="F161:F168" si="5">E161*D161</f>
        <v>0</v>
      </c>
    </row>
    <row r="162" spans="1:6" ht="20.25" thickTop="1" thickBot="1" x14ac:dyDescent="0.3">
      <c r="A162" s="6" t="s">
        <v>236</v>
      </c>
      <c r="B162" s="6"/>
      <c r="C162" s="6" t="s">
        <v>260</v>
      </c>
      <c r="D162" s="11">
        <v>427</v>
      </c>
      <c r="E162" s="14"/>
      <c r="F162" s="13">
        <f t="shared" si="5"/>
        <v>0</v>
      </c>
    </row>
    <row r="163" spans="1:6" ht="20.25" thickTop="1" thickBot="1" x14ac:dyDescent="0.3">
      <c r="A163" s="6" t="s">
        <v>237</v>
      </c>
      <c r="B163" s="6"/>
      <c r="C163" s="6" t="s">
        <v>260</v>
      </c>
      <c r="D163" s="11">
        <v>603</v>
      </c>
      <c r="E163" s="14"/>
      <c r="F163" s="13">
        <f t="shared" si="5"/>
        <v>0</v>
      </c>
    </row>
    <row r="164" spans="1:6" ht="20.25" thickTop="1" thickBot="1" x14ac:dyDescent="0.3">
      <c r="A164" s="6" t="s">
        <v>238</v>
      </c>
      <c r="B164" s="6"/>
      <c r="C164" s="6" t="s">
        <v>260</v>
      </c>
      <c r="D164" s="11">
        <v>784</v>
      </c>
      <c r="E164" s="14"/>
      <c r="F164" s="13">
        <f t="shared" si="5"/>
        <v>0</v>
      </c>
    </row>
    <row r="165" spans="1:6" ht="20.25" thickTop="1" thickBot="1" x14ac:dyDescent="0.3">
      <c r="A165" s="6" t="s">
        <v>239</v>
      </c>
      <c r="B165" s="6"/>
      <c r="C165" s="6" t="s">
        <v>260</v>
      </c>
      <c r="D165" s="11">
        <v>172</v>
      </c>
      <c r="E165" s="14"/>
      <c r="F165" s="13">
        <f t="shared" si="5"/>
        <v>0</v>
      </c>
    </row>
    <row r="166" spans="1:6" ht="20.25" thickTop="1" thickBot="1" x14ac:dyDescent="0.3">
      <c r="A166" s="6" t="s">
        <v>240</v>
      </c>
      <c r="B166" s="6"/>
      <c r="C166" s="6" t="s">
        <v>260</v>
      </c>
      <c r="D166" s="11">
        <v>653</v>
      </c>
      <c r="E166" s="14"/>
      <c r="F166" s="13">
        <f t="shared" si="5"/>
        <v>0</v>
      </c>
    </row>
    <row r="167" spans="1:6" ht="20.25" thickTop="1" thickBot="1" x14ac:dyDescent="0.3">
      <c r="A167" s="6" t="s">
        <v>241</v>
      </c>
      <c r="B167" s="6"/>
      <c r="C167" s="6" t="s">
        <v>260</v>
      </c>
      <c r="D167" s="11">
        <v>535</v>
      </c>
      <c r="E167" s="14"/>
      <c r="F167" s="13">
        <f t="shared" si="5"/>
        <v>0</v>
      </c>
    </row>
    <row r="168" spans="1:6" ht="20.25" thickTop="1" thickBot="1" x14ac:dyDescent="0.3">
      <c r="A168" s="6" t="s">
        <v>242</v>
      </c>
      <c r="B168" s="6"/>
      <c r="C168" s="6" t="s">
        <v>260</v>
      </c>
      <c r="D168" s="11">
        <v>523</v>
      </c>
      <c r="E168" s="14"/>
      <c r="F168" s="13">
        <f t="shared" si="5"/>
        <v>0</v>
      </c>
    </row>
    <row r="169" spans="1:6" ht="22.5" thickTop="1" thickBot="1" x14ac:dyDescent="0.3">
      <c r="A169" s="49" t="s">
        <v>47</v>
      </c>
      <c r="B169" s="50"/>
      <c r="C169" s="50"/>
      <c r="D169" s="50"/>
      <c r="E169" s="50"/>
      <c r="F169" s="55"/>
    </row>
    <row r="170" spans="1:6" ht="20.25" thickTop="1" thickBot="1" x14ac:dyDescent="0.3">
      <c r="A170" s="6" t="s">
        <v>339</v>
      </c>
      <c r="B170" s="6"/>
      <c r="C170" s="6" t="s">
        <v>189</v>
      </c>
      <c r="D170" s="11">
        <v>14000</v>
      </c>
      <c r="E170" s="14"/>
      <c r="F170" s="12">
        <f>D170*E170</f>
        <v>0</v>
      </c>
    </row>
    <row r="171" spans="1:6" ht="57.75" thickTop="1" thickBot="1" x14ac:dyDescent="0.3">
      <c r="A171" s="6" t="s">
        <v>340</v>
      </c>
      <c r="B171" s="6"/>
      <c r="C171" s="6" t="s">
        <v>189</v>
      </c>
      <c r="D171" s="11">
        <v>2311</v>
      </c>
      <c r="E171" s="14"/>
      <c r="F171" s="12">
        <f t="shared" ref="F171:F178" si="6">D171*E171</f>
        <v>0</v>
      </c>
    </row>
    <row r="172" spans="1:6" ht="39" thickTop="1" thickBot="1" x14ac:dyDescent="0.3">
      <c r="A172" s="6" t="s">
        <v>342</v>
      </c>
      <c r="B172" s="6"/>
      <c r="C172" s="6" t="s">
        <v>189</v>
      </c>
      <c r="D172" s="11">
        <v>3869</v>
      </c>
      <c r="E172" s="14"/>
      <c r="F172" s="12"/>
    </row>
    <row r="173" spans="1:6" ht="39" thickTop="1" thickBot="1" x14ac:dyDescent="0.3">
      <c r="A173" s="6" t="s">
        <v>341</v>
      </c>
      <c r="B173" s="6"/>
      <c r="C173" s="6" t="s">
        <v>189</v>
      </c>
      <c r="D173" s="11">
        <v>3000</v>
      </c>
      <c r="E173" s="14"/>
      <c r="F173" s="12"/>
    </row>
    <row r="174" spans="1:6" ht="39" thickTop="1" thickBot="1" x14ac:dyDescent="0.3">
      <c r="A174" s="6" t="s">
        <v>343</v>
      </c>
      <c r="B174" s="6"/>
      <c r="C174" s="6" t="s">
        <v>189</v>
      </c>
      <c r="D174" s="11">
        <v>4683</v>
      </c>
      <c r="E174" s="14"/>
      <c r="F174" s="12">
        <f t="shared" si="6"/>
        <v>0</v>
      </c>
    </row>
    <row r="175" spans="1:6" ht="32.25" customHeight="1" thickTop="1" thickBot="1" x14ac:dyDescent="0.3">
      <c r="A175" s="6" t="s">
        <v>344</v>
      </c>
      <c r="B175" s="6"/>
      <c r="C175" s="6" t="s">
        <v>189</v>
      </c>
      <c r="D175" s="11">
        <v>3700</v>
      </c>
      <c r="E175" s="14"/>
      <c r="F175" s="12">
        <f t="shared" si="6"/>
        <v>0</v>
      </c>
    </row>
    <row r="176" spans="1:6" ht="39" customHeight="1" thickTop="1" thickBot="1" x14ac:dyDescent="0.3">
      <c r="A176" s="6" t="s">
        <v>345</v>
      </c>
      <c r="B176" s="6"/>
      <c r="C176" s="6" t="s">
        <v>189</v>
      </c>
      <c r="D176" s="11">
        <v>4700</v>
      </c>
      <c r="E176" s="14"/>
      <c r="F176" s="12">
        <f t="shared" si="6"/>
        <v>0</v>
      </c>
    </row>
    <row r="177" spans="1:6" ht="57.75" thickTop="1" thickBot="1" x14ac:dyDescent="0.3">
      <c r="A177" s="6" t="s">
        <v>346</v>
      </c>
      <c r="B177" s="6"/>
      <c r="C177" s="6" t="s">
        <v>189</v>
      </c>
      <c r="D177" s="11">
        <v>7600</v>
      </c>
      <c r="E177" s="14"/>
      <c r="F177" s="12">
        <f t="shared" si="6"/>
        <v>0</v>
      </c>
    </row>
    <row r="178" spans="1:6" ht="39" thickTop="1" thickBot="1" x14ac:dyDescent="0.3">
      <c r="A178" s="6" t="s">
        <v>347</v>
      </c>
      <c r="B178" s="6"/>
      <c r="C178" s="6" t="s">
        <v>189</v>
      </c>
      <c r="D178" s="11">
        <v>9300</v>
      </c>
      <c r="E178" s="14"/>
      <c r="F178" s="12">
        <f t="shared" si="6"/>
        <v>0</v>
      </c>
    </row>
    <row r="179" spans="1:6" ht="22.5" thickTop="1" thickBot="1" x14ac:dyDescent="0.3">
      <c r="A179" s="49" t="s">
        <v>48</v>
      </c>
      <c r="B179" s="50"/>
      <c r="C179" s="50"/>
      <c r="D179" s="50"/>
      <c r="E179" s="50"/>
      <c r="F179" s="55"/>
    </row>
    <row r="180" spans="1:6" ht="20.25" thickTop="1" thickBot="1" x14ac:dyDescent="0.3">
      <c r="A180" s="6" t="s">
        <v>113</v>
      </c>
      <c r="B180" s="6"/>
      <c r="C180" s="6" t="s">
        <v>260</v>
      </c>
      <c r="D180" s="11">
        <v>8203</v>
      </c>
      <c r="E180" s="14"/>
      <c r="F180" s="12">
        <f>D180*E180</f>
        <v>0</v>
      </c>
    </row>
    <row r="181" spans="1:6" ht="39" thickTop="1" thickBot="1" x14ac:dyDescent="0.3">
      <c r="A181" s="6" t="s">
        <v>109</v>
      </c>
      <c r="B181" s="6"/>
      <c r="C181" s="6" t="s">
        <v>260</v>
      </c>
      <c r="D181" s="11">
        <v>1113</v>
      </c>
      <c r="E181" s="14"/>
      <c r="F181" s="12">
        <f>D181*E181</f>
        <v>0</v>
      </c>
    </row>
    <row r="182" spans="1:6" ht="39" thickTop="1" thickBot="1" x14ac:dyDescent="0.3">
      <c r="A182" s="6" t="s">
        <v>110</v>
      </c>
      <c r="B182" s="6"/>
      <c r="C182" s="6" t="s">
        <v>260</v>
      </c>
      <c r="D182" s="11">
        <v>1829</v>
      </c>
      <c r="E182" s="14"/>
      <c r="F182" s="13">
        <f>D182*E182</f>
        <v>0</v>
      </c>
    </row>
    <row r="183" spans="1:6" ht="39" thickTop="1" thickBot="1" x14ac:dyDescent="0.3">
      <c r="A183" s="6" t="s">
        <v>111</v>
      </c>
      <c r="B183" s="6"/>
      <c r="C183" s="6" t="s">
        <v>260</v>
      </c>
      <c r="D183" s="11">
        <v>1245</v>
      </c>
      <c r="E183" s="14"/>
      <c r="F183" s="13">
        <f>D183*E183</f>
        <v>0</v>
      </c>
    </row>
    <row r="184" spans="1:6" ht="39" thickTop="1" thickBot="1" x14ac:dyDescent="0.3">
      <c r="A184" s="6" t="s">
        <v>112</v>
      </c>
      <c r="B184" s="6"/>
      <c r="C184" s="6" t="s">
        <v>260</v>
      </c>
      <c r="D184" s="11">
        <v>2166</v>
      </c>
      <c r="E184" s="14"/>
      <c r="F184" s="13">
        <f>D184*E184</f>
        <v>0</v>
      </c>
    </row>
    <row r="185" spans="1:6" ht="22.5" thickTop="1" thickBot="1" x14ac:dyDescent="0.3">
      <c r="A185" s="49" t="s">
        <v>259</v>
      </c>
      <c r="B185" s="50"/>
      <c r="C185" s="50"/>
      <c r="D185" s="50"/>
      <c r="E185" s="50"/>
      <c r="F185" s="50"/>
    </row>
    <row r="186" spans="1:6" ht="20.25" thickTop="1" thickBot="1" x14ac:dyDescent="0.3">
      <c r="A186" s="6" t="s">
        <v>243</v>
      </c>
      <c r="B186" s="6"/>
      <c r="C186" s="6" t="s">
        <v>260</v>
      </c>
      <c r="D186" s="11">
        <v>6633</v>
      </c>
      <c r="E186" s="14"/>
      <c r="F186" s="13">
        <f>E186*D186</f>
        <v>0</v>
      </c>
    </row>
    <row r="187" spans="1:6" ht="39" thickTop="1" thickBot="1" x14ac:dyDescent="0.3">
      <c r="A187" s="6" t="s">
        <v>244</v>
      </c>
      <c r="B187" s="6"/>
      <c r="C187" s="6" t="s">
        <v>260</v>
      </c>
      <c r="D187" s="11">
        <v>3305</v>
      </c>
      <c r="E187" s="14"/>
      <c r="F187" s="13">
        <f>E187*D187</f>
        <v>0</v>
      </c>
    </row>
    <row r="188" spans="1:6" ht="39" thickTop="1" thickBot="1" x14ac:dyDescent="0.3">
      <c r="A188" s="6" t="s">
        <v>245</v>
      </c>
      <c r="B188" s="6"/>
      <c r="C188" s="6" t="s">
        <v>260</v>
      </c>
      <c r="D188" s="11">
        <v>4178</v>
      </c>
      <c r="E188" s="14"/>
      <c r="F188" s="13">
        <f>E188*D188</f>
        <v>0</v>
      </c>
    </row>
    <row r="189" spans="1:6" ht="39" thickTop="1" thickBot="1" x14ac:dyDescent="0.3">
      <c r="A189" s="6" t="s">
        <v>246</v>
      </c>
      <c r="B189" s="6"/>
      <c r="C189" s="6" t="s">
        <v>260</v>
      </c>
      <c r="D189" s="11">
        <v>4974</v>
      </c>
      <c r="E189" s="14"/>
      <c r="F189" s="13">
        <f>E189*D189</f>
        <v>0</v>
      </c>
    </row>
    <row r="190" spans="1:6" ht="20.25" thickTop="1" thickBot="1" x14ac:dyDescent="0.3">
      <c r="A190" s="53"/>
      <c r="B190" s="54"/>
      <c r="C190" s="54"/>
      <c r="D190" s="54"/>
      <c r="E190" s="54"/>
      <c r="F190" s="54"/>
    </row>
    <row r="191" spans="1:6" ht="39" thickTop="1" thickBot="1" x14ac:dyDescent="0.3">
      <c r="A191" s="6" t="s">
        <v>247</v>
      </c>
      <c r="B191" s="6"/>
      <c r="C191" s="6" t="s">
        <v>260</v>
      </c>
      <c r="D191" s="11">
        <v>4514</v>
      </c>
      <c r="E191" s="14"/>
      <c r="F191" s="13">
        <f>E191*D191</f>
        <v>0</v>
      </c>
    </row>
    <row r="192" spans="1:6" ht="39" thickTop="1" thickBot="1" x14ac:dyDescent="0.3">
      <c r="A192" s="6" t="s">
        <v>248</v>
      </c>
      <c r="B192" s="6"/>
      <c r="C192" s="6" t="s">
        <v>260</v>
      </c>
      <c r="D192" s="11">
        <v>5437</v>
      </c>
      <c r="E192" s="14"/>
      <c r="F192" s="13">
        <f>E192*D192</f>
        <v>0</v>
      </c>
    </row>
    <row r="193" spans="1:6" ht="39" thickTop="1" thickBot="1" x14ac:dyDescent="0.3">
      <c r="A193" s="6" t="s">
        <v>249</v>
      </c>
      <c r="B193" s="6"/>
      <c r="C193" s="6" t="s">
        <v>260</v>
      </c>
      <c r="D193" s="11">
        <v>6243</v>
      </c>
      <c r="E193" s="14"/>
      <c r="F193" s="13">
        <f>E193*D193</f>
        <v>0</v>
      </c>
    </row>
    <row r="194" spans="1:6" ht="20.25" thickTop="1" thickBot="1" x14ac:dyDescent="0.3">
      <c r="A194" s="53"/>
      <c r="B194" s="54"/>
      <c r="C194" s="54"/>
      <c r="D194" s="54"/>
      <c r="E194" s="54"/>
      <c r="F194" s="54"/>
    </row>
    <row r="195" spans="1:6" ht="39" thickTop="1" thickBot="1" x14ac:dyDescent="0.3">
      <c r="A195" s="6" t="s">
        <v>250</v>
      </c>
      <c r="B195" s="6"/>
      <c r="C195" s="6" t="s">
        <v>260</v>
      </c>
      <c r="D195" s="11">
        <v>10007</v>
      </c>
      <c r="E195" s="14"/>
      <c r="F195" s="13">
        <f>E195*D195</f>
        <v>0</v>
      </c>
    </row>
    <row r="196" spans="1:6" ht="39" thickTop="1" thickBot="1" x14ac:dyDescent="0.3">
      <c r="A196" s="6" t="s">
        <v>251</v>
      </c>
      <c r="B196" s="6"/>
      <c r="C196" s="6" t="s">
        <v>260</v>
      </c>
      <c r="D196" s="11">
        <v>4875</v>
      </c>
      <c r="E196" s="14"/>
      <c r="F196" s="13">
        <f>E196*D196</f>
        <v>0</v>
      </c>
    </row>
    <row r="197" spans="1:6" ht="39" thickTop="1" thickBot="1" x14ac:dyDescent="0.3">
      <c r="A197" s="6" t="s">
        <v>252</v>
      </c>
      <c r="B197" s="6"/>
      <c r="C197" s="6" t="s">
        <v>260</v>
      </c>
      <c r="D197" s="11">
        <v>5434</v>
      </c>
      <c r="E197" s="14"/>
      <c r="F197" s="13">
        <f>E197*D197</f>
        <v>0</v>
      </c>
    </row>
    <row r="198" spans="1:6" ht="39" thickTop="1" thickBot="1" x14ac:dyDescent="0.3">
      <c r="A198" s="6" t="s">
        <v>253</v>
      </c>
      <c r="B198" s="6"/>
      <c r="C198" s="6" t="s">
        <v>260</v>
      </c>
      <c r="D198" s="11">
        <v>6254</v>
      </c>
      <c r="E198" s="14"/>
      <c r="F198" s="13">
        <f>E198*D198</f>
        <v>0</v>
      </c>
    </row>
    <row r="199" spans="1:6" ht="39" thickTop="1" thickBot="1" x14ac:dyDescent="0.3">
      <c r="A199" s="6" t="s">
        <v>254</v>
      </c>
      <c r="B199" s="6"/>
      <c r="C199" s="6" t="s">
        <v>260</v>
      </c>
      <c r="D199" s="11">
        <v>7990</v>
      </c>
      <c r="E199" s="14"/>
      <c r="F199" s="13">
        <f>E199*D199</f>
        <v>0</v>
      </c>
    </row>
    <row r="200" spans="1:6" ht="20.25" thickTop="1" thickBot="1" x14ac:dyDescent="0.3">
      <c r="A200" s="53"/>
      <c r="B200" s="54"/>
      <c r="C200" s="54"/>
      <c r="D200" s="54"/>
      <c r="E200" s="54"/>
      <c r="F200" s="54"/>
    </row>
    <row r="201" spans="1:6" ht="39" thickTop="1" thickBot="1" x14ac:dyDescent="0.3">
      <c r="A201" s="6" t="s">
        <v>255</v>
      </c>
      <c r="B201" s="6"/>
      <c r="C201" s="6" t="s">
        <v>260</v>
      </c>
      <c r="D201" s="11">
        <v>7490</v>
      </c>
      <c r="E201" s="14"/>
      <c r="F201" s="13">
        <f>E201*D201</f>
        <v>0</v>
      </c>
    </row>
    <row r="202" spans="1:6" ht="39" thickTop="1" thickBot="1" x14ac:dyDescent="0.3">
      <c r="A202" s="6" t="s">
        <v>256</v>
      </c>
      <c r="B202" s="6"/>
      <c r="C202" s="6" t="s">
        <v>260</v>
      </c>
      <c r="D202" s="11">
        <v>8042</v>
      </c>
      <c r="E202" s="14"/>
      <c r="F202" s="13">
        <f>E202*D202</f>
        <v>0</v>
      </c>
    </row>
    <row r="203" spans="1:6" ht="39" thickTop="1" thickBot="1" x14ac:dyDescent="0.3">
      <c r="A203" s="6" t="s">
        <v>257</v>
      </c>
      <c r="B203" s="6"/>
      <c r="C203" s="6" t="s">
        <v>260</v>
      </c>
      <c r="D203" s="11">
        <v>8862</v>
      </c>
      <c r="E203" s="14"/>
      <c r="F203" s="13">
        <f>E203*D203</f>
        <v>0</v>
      </c>
    </row>
    <row r="204" spans="1:6" ht="39" thickTop="1" thickBot="1" x14ac:dyDescent="0.3">
      <c r="A204" s="6" t="s">
        <v>258</v>
      </c>
      <c r="B204" s="6"/>
      <c r="C204" s="6" t="s">
        <v>260</v>
      </c>
      <c r="D204" s="11">
        <v>10598</v>
      </c>
      <c r="E204" s="14"/>
      <c r="F204" s="13">
        <f>E204*D204</f>
        <v>0</v>
      </c>
    </row>
    <row r="205" spans="1:6" ht="22.5" thickTop="1" thickBot="1" x14ac:dyDescent="0.3">
      <c r="A205" s="49" t="s">
        <v>49</v>
      </c>
      <c r="B205" s="50"/>
      <c r="C205" s="50"/>
      <c r="D205" s="50"/>
      <c r="E205" s="50"/>
      <c r="F205" s="50"/>
    </row>
    <row r="206" spans="1:6" ht="22.5" thickTop="1" thickBot="1" x14ac:dyDescent="0.3">
      <c r="A206" s="51" t="s">
        <v>307</v>
      </c>
      <c r="B206" s="52"/>
      <c r="C206" s="52"/>
      <c r="D206" s="52"/>
      <c r="E206" s="52"/>
      <c r="F206" s="52"/>
    </row>
    <row r="207" spans="1:6" ht="20.25" thickTop="1" thickBot="1" x14ac:dyDescent="0.3">
      <c r="A207" s="6" t="s">
        <v>261</v>
      </c>
      <c r="B207" s="6"/>
      <c r="C207" s="6" t="s">
        <v>189</v>
      </c>
      <c r="D207" s="11">
        <v>9000</v>
      </c>
      <c r="E207" s="14">
        <v>0</v>
      </c>
      <c r="F207" s="12">
        <f>D207*E207</f>
        <v>0</v>
      </c>
    </row>
    <row r="208" spans="1:6" ht="20.25" thickTop="1" thickBot="1" x14ac:dyDescent="0.3">
      <c r="A208" s="6" t="s">
        <v>262</v>
      </c>
      <c r="B208" s="6"/>
      <c r="C208" s="6" t="s">
        <v>189</v>
      </c>
      <c r="D208" s="11">
        <v>5300</v>
      </c>
      <c r="E208" s="14">
        <v>0</v>
      </c>
      <c r="F208" s="12">
        <f t="shared" ref="F208:F216" si="7">D208*E208</f>
        <v>0</v>
      </c>
    </row>
    <row r="209" spans="1:6" ht="39" thickTop="1" thickBot="1" x14ac:dyDescent="0.3">
      <c r="A209" s="6" t="s">
        <v>263</v>
      </c>
      <c r="B209" s="6"/>
      <c r="C209" s="6" t="s">
        <v>189</v>
      </c>
      <c r="D209" s="11">
        <v>6500</v>
      </c>
      <c r="E209" s="14">
        <v>0</v>
      </c>
      <c r="F209" s="12">
        <f t="shared" si="7"/>
        <v>0</v>
      </c>
    </row>
    <row r="210" spans="1:6" ht="39" thickTop="1" thickBot="1" x14ac:dyDescent="0.3">
      <c r="A210" s="6" t="s">
        <v>264</v>
      </c>
      <c r="B210" s="6"/>
      <c r="C210" s="6" t="s">
        <v>189</v>
      </c>
      <c r="D210" s="11">
        <v>7600</v>
      </c>
      <c r="E210" s="14">
        <v>0</v>
      </c>
      <c r="F210" s="12"/>
    </row>
    <row r="211" spans="1:6" ht="20.25" thickTop="1" thickBot="1" x14ac:dyDescent="0.3">
      <c r="A211" s="6" t="s">
        <v>350</v>
      </c>
      <c r="B211" s="6"/>
      <c r="C211" s="6" t="s">
        <v>189</v>
      </c>
      <c r="D211" s="11">
        <v>5900</v>
      </c>
      <c r="E211" s="14">
        <v>0</v>
      </c>
      <c r="F211" s="12">
        <f t="shared" si="7"/>
        <v>0</v>
      </c>
    </row>
    <row r="212" spans="1:6" ht="22.5" thickTop="1" thickBot="1" x14ac:dyDescent="0.3">
      <c r="A212" s="51" t="s">
        <v>308</v>
      </c>
      <c r="B212" s="52"/>
      <c r="C212" s="52"/>
      <c r="D212" s="52"/>
      <c r="E212" s="52"/>
      <c r="F212" s="52"/>
    </row>
    <row r="213" spans="1:6" ht="20.25" thickTop="1" thickBot="1" x14ac:dyDescent="0.3">
      <c r="A213" s="6" t="s">
        <v>348</v>
      </c>
      <c r="B213" s="6"/>
      <c r="C213" s="6" t="s">
        <v>189</v>
      </c>
      <c r="D213" s="11">
        <v>11800</v>
      </c>
      <c r="E213" s="14"/>
      <c r="F213" s="12">
        <f t="shared" si="7"/>
        <v>0</v>
      </c>
    </row>
    <row r="214" spans="1:6" ht="39" thickTop="1" thickBot="1" x14ac:dyDescent="0.3">
      <c r="A214" s="6" t="s">
        <v>265</v>
      </c>
      <c r="B214" s="6"/>
      <c r="C214" s="6" t="s">
        <v>189</v>
      </c>
      <c r="D214" s="11">
        <v>8500</v>
      </c>
      <c r="E214" s="14"/>
      <c r="F214" s="12">
        <f t="shared" si="7"/>
        <v>0</v>
      </c>
    </row>
    <row r="215" spans="1:6" ht="39" thickTop="1" thickBot="1" x14ac:dyDescent="0.3">
      <c r="A215" s="6" t="s">
        <v>266</v>
      </c>
      <c r="B215" s="6"/>
      <c r="C215" s="6" t="s">
        <v>189</v>
      </c>
      <c r="D215" s="11">
        <v>9700</v>
      </c>
      <c r="E215" s="14"/>
      <c r="F215" s="12">
        <f t="shared" si="7"/>
        <v>0</v>
      </c>
    </row>
    <row r="216" spans="1:6" ht="39" thickTop="1" thickBot="1" x14ac:dyDescent="0.3">
      <c r="A216" s="6" t="s">
        <v>267</v>
      </c>
      <c r="B216" s="6"/>
      <c r="C216" s="6" t="s">
        <v>189</v>
      </c>
      <c r="D216" s="11">
        <v>10800</v>
      </c>
      <c r="E216" s="14"/>
      <c r="F216" s="12">
        <f t="shared" si="7"/>
        <v>0</v>
      </c>
    </row>
    <row r="217" spans="1:6" ht="22.5" thickTop="1" thickBot="1" x14ac:dyDescent="0.3">
      <c r="A217" s="51" t="s">
        <v>268</v>
      </c>
      <c r="B217" s="52"/>
      <c r="C217" s="52"/>
      <c r="D217" s="52"/>
      <c r="E217" s="52"/>
      <c r="F217" s="52"/>
    </row>
    <row r="218" spans="1:6" ht="20.25" thickTop="1" thickBot="1" x14ac:dyDescent="0.3">
      <c r="A218" s="6" t="s">
        <v>362</v>
      </c>
      <c r="B218" s="6"/>
      <c r="C218" s="6" t="s">
        <v>189</v>
      </c>
      <c r="D218" s="11">
        <v>12800</v>
      </c>
      <c r="E218" s="14"/>
      <c r="F218" s="13"/>
    </row>
    <row r="219" spans="1:6" ht="20.25" thickTop="1" thickBot="1" x14ac:dyDescent="0.3">
      <c r="A219" s="6" t="s">
        <v>349</v>
      </c>
      <c r="B219" s="6"/>
      <c r="C219" s="6" t="s">
        <v>189</v>
      </c>
      <c r="D219" s="11">
        <v>7230</v>
      </c>
      <c r="E219" s="14"/>
      <c r="F219" s="13"/>
    </row>
    <row r="220" spans="1:6" ht="20.25" thickTop="1" thickBot="1" x14ac:dyDescent="0.3">
      <c r="A220" s="6" t="s">
        <v>351</v>
      </c>
      <c r="B220" s="6"/>
      <c r="C220" s="6" t="s">
        <v>189</v>
      </c>
      <c r="D220" s="11">
        <v>8200</v>
      </c>
      <c r="E220" s="14"/>
      <c r="F220" s="13"/>
    </row>
    <row r="221" spans="1:6" ht="20.25" thickTop="1" thickBot="1" x14ac:dyDescent="0.3">
      <c r="A221" s="6" t="s">
        <v>352</v>
      </c>
      <c r="B221" s="6"/>
      <c r="C221" s="6" t="s">
        <v>189</v>
      </c>
      <c r="D221" s="11">
        <v>9200</v>
      </c>
      <c r="E221" s="14"/>
      <c r="F221" s="13"/>
    </row>
    <row r="222" spans="1:6" ht="20.25" thickTop="1" thickBot="1" x14ac:dyDescent="0.3">
      <c r="A222" s="6" t="s">
        <v>353</v>
      </c>
      <c r="B222" s="6"/>
      <c r="C222" s="6" t="s">
        <v>189</v>
      </c>
      <c r="D222" s="11">
        <v>13150</v>
      </c>
      <c r="E222" s="14"/>
      <c r="F222" s="13"/>
    </row>
    <row r="223" spans="1:6" ht="20.25" thickTop="1" thickBot="1" x14ac:dyDescent="0.3">
      <c r="A223" s="6" t="s">
        <v>361</v>
      </c>
      <c r="B223" s="6"/>
      <c r="C223" s="6" t="s">
        <v>189</v>
      </c>
      <c r="D223" s="11">
        <v>10600</v>
      </c>
      <c r="E223" s="14"/>
      <c r="F223" s="13"/>
    </row>
    <row r="224" spans="1:6" ht="22.5" thickTop="1" thickBot="1" x14ac:dyDescent="0.3">
      <c r="A224" s="51" t="s">
        <v>354</v>
      </c>
      <c r="B224" s="52"/>
      <c r="C224" s="52"/>
      <c r="D224" s="52"/>
      <c r="E224" s="52"/>
      <c r="F224" s="52"/>
    </row>
    <row r="225" spans="1:6" ht="20.25" thickTop="1" thickBot="1" x14ac:dyDescent="0.3">
      <c r="A225" s="6" t="s">
        <v>355</v>
      </c>
      <c r="B225" s="6"/>
      <c r="C225" s="6" t="s">
        <v>189</v>
      </c>
      <c r="D225" s="11">
        <v>15150</v>
      </c>
      <c r="E225" s="14"/>
      <c r="F225" s="13"/>
    </row>
    <row r="226" spans="1:6" ht="39" thickTop="1" thickBot="1" x14ac:dyDescent="0.3">
      <c r="A226" s="6" t="s">
        <v>356</v>
      </c>
      <c r="B226" s="6"/>
      <c r="C226" s="6" t="s">
        <v>189</v>
      </c>
      <c r="D226" s="11">
        <v>10445</v>
      </c>
      <c r="E226" s="14"/>
      <c r="F226" s="13"/>
    </row>
    <row r="227" spans="1:6" ht="20.25" thickTop="1" thickBot="1" x14ac:dyDescent="0.3">
      <c r="A227" s="6" t="s">
        <v>357</v>
      </c>
      <c r="B227" s="6"/>
      <c r="C227" s="6" t="s">
        <v>189</v>
      </c>
      <c r="D227" s="11">
        <v>11382</v>
      </c>
      <c r="E227" s="14"/>
      <c r="F227" s="13"/>
    </row>
    <row r="228" spans="1:6" ht="20.25" thickTop="1" thickBot="1" x14ac:dyDescent="0.3">
      <c r="A228" s="6" t="s">
        <v>358</v>
      </c>
      <c r="B228" s="6"/>
      <c r="C228" s="6" t="s">
        <v>189</v>
      </c>
      <c r="D228" s="11">
        <v>12446</v>
      </c>
      <c r="E228" s="14"/>
      <c r="F228" s="13"/>
    </row>
    <row r="229" spans="1:6" ht="20.25" thickTop="1" thickBot="1" x14ac:dyDescent="0.3">
      <c r="A229" s="6" t="s">
        <v>359</v>
      </c>
      <c r="B229" s="6"/>
      <c r="C229" s="6" t="s">
        <v>189</v>
      </c>
      <c r="D229" s="11">
        <v>16347</v>
      </c>
      <c r="E229" s="14"/>
      <c r="F229" s="13"/>
    </row>
    <row r="230" spans="1:6" ht="20.25" thickTop="1" thickBot="1" x14ac:dyDescent="0.3">
      <c r="A230" s="6" t="s">
        <v>360</v>
      </c>
      <c r="B230" s="6"/>
      <c r="C230" s="6" t="s">
        <v>189</v>
      </c>
      <c r="D230" s="11">
        <v>10600</v>
      </c>
      <c r="E230" s="14"/>
      <c r="F230" s="13"/>
    </row>
    <row r="231" spans="1:6" ht="18" customHeight="1" thickTop="1" thickBot="1" x14ac:dyDescent="0.3">
      <c r="A231" s="49" t="s">
        <v>50</v>
      </c>
      <c r="B231" s="50"/>
      <c r="C231" s="50"/>
      <c r="D231" s="50"/>
      <c r="E231" s="50"/>
      <c r="F231" s="55"/>
    </row>
    <row r="232" spans="1:6" ht="18" customHeight="1" thickTop="1" thickBot="1" x14ac:dyDescent="0.3">
      <c r="A232" s="51" t="s">
        <v>269</v>
      </c>
      <c r="B232" s="52"/>
      <c r="C232" s="52"/>
      <c r="D232" s="52"/>
      <c r="E232" s="52"/>
      <c r="F232" s="52"/>
    </row>
    <row r="233" spans="1:6" ht="18" customHeight="1" thickTop="1" thickBot="1" x14ac:dyDescent="0.3">
      <c r="A233" s="6" t="s">
        <v>79</v>
      </c>
      <c r="B233" s="6"/>
      <c r="C233" s="6" t="s">
        <v>189</v>
      </c>
      <c r="D233" s="11">
        <v>3650</v>
      </c>
      <c r="E233" s="14"/>
      <c r="F233" s="12">
        <f>D233*E233</f>
        <v>0</v>
      </c>
    </row>
    <row r="234" spans="1:6" ht="18" customHeight="1" thickTop="1" thickBot="1" x14ac:dyDescent="0.3">
      <c r="A234" s="6" t="s">
        <v>114</v>
      </c>
      <c r="B234" s="6"/>
      <c r="C234" s="6" t="s">
        <v>189</v>
      </c>
      <c r="D234" s="11">
        <v>1656</v>
      </c>
      <c r="E234" s="14"/>
      <c r="F234" s="12">
        <f>D234*E234</f>
        <v>0</v>
      </c>
    </row>
    <row r="235" spans="1:6" ht="18" customHeight="1" thickTop="1" thickBot="1" x14ac:dyDescent="0.3">
      <c r="A235" s="6" t="s">
        <v>115</v>
      </c>
      <c r="B235" s="6"/>
      <c r="C235" s="6" t="s">
        <v>189</v>
      </c>
      <c r="D235" s="11">
        <v>1910</v>
      </c>
      <c r="E235" s="14"/>
      <c r="F235" s="12">
        <f t="shared" ref="F235:F242" si="8">D235*E235</f>
        <v>0</v>
      </c>
    </row>
    <row r="236" spans="1:6" ht="18" customHeight="1" thickTop="1" thickBot="1" x14ac:dyDescent="0.3">
      <c r="A236" s="6" t="s">
        <v>116</v>
      </c>
      <c r="B236" s="6"/>
      <c r="C236" s="6" t="s">
        <v>189</v>
      </c>
      <c r="D236" s="11">
        <v>2250</v>
      </c>
      <c r="E236" s="14"/>
      <c r="F236" s="12">
        <f t="shared" si="8"/>
        <v>0</v>
      </c>
    </row>
    <row r="237" spans="1:6" ht="18" customHeight="1" thickTop="1" thickBot="1" x14ac:dyDescent="0.3">
      <c r="A237" s="6" t="s">
        <v>117</v>
      </c>
      <c r="B237" s="6"/>
      <c r="C237" s="6" t="s">
        <v>189</v>
      </c>
      <c r="D237" s="11">
        <v>2350</v>
      </c>
      <c r="E237" s="14"/>
      <c r="F237" s="12">
        <f t="shared" si="8"/>
        <v>0</v>
      </c>
    </row>
    <row r="238" spans="1:6" ht="18" customHeight="1" thickTop="1" thickBot="1" x14ac:dyDescent="0.3">
      <c r="A238" s="51" t="s">
        <v>363</v>
      </c>
      <c r="B238" s="52"/>
      <c r="C238" s="52"/>
      <c r="D238" s="52"/>
      <c r="E238" s="52"/>
      <c r="F238" s="52"/>
    </row>
    <row r="239" spans="1:6" ht="18" customHeight="1" thickTop="1" thickBot="1" x14ac:dyDescent="0.3">
      <c r="A239" s="6" t="s">
        <v>118</v>
      </c>
      <c r="B239" s="6"/>
      <c r="C239" s="6" t="s">
        <v>189</v>
      </c>
      <c r="D239" s="11"/>
      <c r="E239" s="14"/>
      <c r="F239" s="12">
        <f t="shared" si="8"/>
        <v>0</v>
      </c>
    </row>
    <row r="240" spans="1:6" ht="18" customHeight="1" thickTop="1" thickBot="1" x14ac:dyDescent="0.3">
      <c r="A240" s="6" t="s">
        <v>119</v>
      </c>
      <c r="B240" s="6"/>
      <c r="C240" s="6" t="s">
        <v>189</v>
      </c>
      <c r="D240" s="11"/>
      <c r="E240" s="14"/>
      <c r="F240" s="12">
        <f t="shared" si="8"/>
        <v>0</v>
      </c>
    </row>
    <row r="241" spans="1:6" ht="18" customHeight="1" thickTop="1" thickBot="1" x14ac:dyDescent="0.3">
      <c r="A241" s="6" t="s">
        <v>120</v>
      </c>
      <c r="B241" s="6"/>
      <c r="C241" s="6" t="s">
        <v>189</v>
      </c>
      <c r="D241" s="11"/>
      <c r="E241" s="14"/>
      <c r="F241" s="12">
        <f t="shared" si="8"/>
        <v>0</v>
      </c>
    </row>
    <row r="242" spans="1:6" ht="18" customHeight="1" thickTop="1" thickBot="1" x14ac:dyDescent="0.3">
      <c r="A242" s="6" t="s">
        <v>121</v>
      </c>
      <c r="B242" s="6"/>
      <c r="C242" s="6" t="s">
        <v>189</v>
      </c>
      <c r="D242" s="11"/>
      <c r="E242" s="14"/>
      <c r="F242" s="12">
        <f t="shared" si="8"/>
        <v>0</v>
      </c>
    </row>
    <row r="243" spans="1:6" ht="18" customHeight="1" thickTop="1" thickBot="1" x14ac:dyDescent="0.3">
      <c r="A243" s="63" t="s">
        <v>364</v>
      </c>
      <c r="B243" s="64"/>
      <c r="C243" s="64"/>
      <c r="D243" s="64"/>
      <c r="E243" s="64"/>
      <c r="F243" s="65"/>
    </row>
    <row r="244" spans="1:6" ht="18" customHeight="1" thickTop="1" thickBot="1" x14ac:dyDescent="0.3">
      <c r="A244" s="51" t="s">
        <v>303</v>
      </c>
      <c r="B244" s="52"/>
      <c r="C244" s="52"/>
      <c r="D244" s="52"/>
      <c r="E244" s="52"/>
      <c r="F244" s="52"/>
    </row>
    <row r="245" spans="1:6" ht="18" customHeight="1" thickTop="1" thickBot="1" x14ac:dyDescent="0.3">
      <c r="A245" s="6" t="s">
        <v>80</v>
      </c>
      <c r="B245" s="6"/>
      <c r="C245" s="6" t="s">
        <v>189</v>
      </c>
      <c r="D245" s="11">
        <v>3885</v>
      </c>
      <c r="E245" s="32"/>
      <c r="F245" s="12">
        <f>D245*E245</f>
        <v>0</v>
      </c>
    </row>
    <row r="246" spans="1:6" ht="18" customHeight="1" thickTop="1" thickBot="1" x14ac:dyDescent="0.3">
      <c r="A246" s="6" t="s">
        <v>81</v>
      </c>
      <c r="B246" s="6"/>
      <c r="C246" s="6" t="s">
        <v>189</v>
      </c>
      <c r="D246" s="11">
        <v>3885</v>
      </c>
      <c r="E246" s="32"/>
      <c r="F246" s="12">
        <f t="shared" ref="F246:F292" si="9">D246*E246</f>
        <v>0</v>
      </c>
    </row>
    <row r="247" spans="1:6" ht="18" customHeight="1" thickTop="1" thickBot="1" x14ac:dyDescent="0.3">
      <c r="A247" s="6" t="s">
        <v>82</v>
      </c>
      <c r="B247" s="6"/>
      <c r="C247" s="6" t="s">
        <v>189</v>
      </c>
      <c r="D247" s="11">
        <v>3885</v>
      </c>
      <c r="E247" s="32"/>
      <c r="F247" s="12">
        <f t="shared" si="9"/>
        <v>0</v>
      </c>
    </row>
    <row r="248" spans="1:6" ht="18" customHeight="1" thickTop="1" thickBot="1" x14ac:dyDescent="0.3">
      <c r="A248" s="6" t="s">
        <v>83</v>
      </c>
      <c r="B248" s="6"/>
      <c r="C248" s="6" t="s">
        <v>189</v>
      </c>
      <c r="D248" s="11">
        <v>3931</v>
      </c>
      <c r="E248" s="32"/>
      <c r="F248" s="12">
        <f t="shared" si="9"/>
        <v>0</v>
      </c>
    </row>
    <row r="249" spans="1:6" ht="18" customHeight="1" thickTop="1" thickBot="1" x14ac:dyDescent="0.3">
      <c r="A249" s="6" t="s">
        <v>84</v>
      </c>
      <c r="B249" s="6"/>
      <c r="C249" s="6" t="s">
        <v>189</v>
      </c>
      <c r="D249" s="11">
        <v>3979</v>
      </c>
      <c r="E249" s="32"/>
      <c r="F249" s="12">
        <f t="shared" si="9"/>
        <v>0</v>
      </c>
    </row>
    <row r="250" spans="1:6" ht="18" customHeight="1" thickTop="1" thickBot="1" x14ac:dyDescent="0.3">
      <c r="A250" s="6" t="s">
        <v>85</v>
      </c>
      <c r="B250" s="6"/>
      <c r="C250" s="6" t="s">
        <v>189</v>
      </c>
      <c r="D250" s="11">
        <v>4023</v>
      </c>
      <c r="E250" s="32"/>
      <c r="F250" s="12">
        <f t="shared" si="9"/>
        <v>0</v>
      </c>
    </row>
    <row r="251" spans="1:6" ht="18" customHeight="1" thickTop="1" thickBot="1" x14ac:dyDescent="0.3">
      <c r="A251" s="6" t="s">
        <v>86</v>
      </c>
      <c r="B251" s="6"/>
      <c r="C251" s="6" t="s">
        <v>189</v>
      </c>
      <c r="D251" s="11">
        <v>4196</v>
      </c>
      <c r="E251" s="32"/>
      <c r="F251" s="12">
        <f t="shared" si="9"/>
        <v>0</v>
      </c>
    </row>
    <row r="252" spans="1:6" ht="18" customHeight="1" thickTop="1" thickBot="1" x14ac:dyDescent="0.3">
      <c r="A252" s="51" t="s">
        <v>304</v>
      </c>
      <c r="B252" s="52"/>
      <c r="C252" s="52"/>
      <c r="D252" s="52"/>
      <c r="E252" s="52"/>
      <c r="F252" s="52"/>
    </row>
    <row r="253" spans="1:6" ht="18" customHeight="1" thickTop="1" thickBot="1" x14ac:dyDescent="0.3">
      <c r="A253" s="6" t="s">
        <v>88</v>
      </c>
      <c r="B253" s="6"/>
      <c r="C253" s="6" t="s">
        <v>189</v>
      </c>
      <c r="D253" s="11">
        <v>4183</v>
      </c>
      <c r="E253" s="32"/>
      <c r="F253" s="12">
        <f t="shared" si="9"/>
        <v>0</v>
      </c>
    </row>
    <row r="254" spans="1:6" ht="18" customHeight="1" thickTop="1" thickBot="1" x14ac:dyDescent="0.3">
      <c r="A254" s="6" t="s">
        <v>89</v>
      </c>
      <c r="B254" s="6"/>
      <c r="C254" s="6" t="s">
        <v>189</v>
      </c>
      <c r="D254" s="11">
        <v>4183</v>
      </c>
      <c r="E254" s="32"/>
      <c r="F254" s="12">
        <f t="shared" si="9"/>
        <v>0</v>
      </c>
    </row>
    <row r="255" spans="1:6" ht="18" customHeight="1" thickTop="1" thickBot="1" x14ac:dyDescent="0.3">
      <c r="A255" s="6" t="s">
        <v>90</v>
      </c>
      <c r="B255" s="6"/>
      <c r="C255" s="6" t="s">
        <v>189</v>
      </c>
      <c r="D255" s="11">
        <v>4183</v>
      </c>
      <c r="E255" s="32"/>
      <c r="F255" s="12">
        <f t="shared" si="9"/>
        <v>0</v>
      </c>
    </row>
    <row r="256" spans="1:6" ht="18" customHeight="1" thickTop="1" thickBot="1" x14ac:dyDescent="0.3">
      <c r="A256" s="6" t="s">
        <v>91</v>
      </c>
      <c r="B256" s="6"/>
      <c r="C256" s="6" t="s">
        <v>189</v>
      </c>
      <c r="D256" s="11">
        <v>4232</v>
      </c>
      <c r="E256" s="32"/>
      <c r="F256" s="12">
        <f t="shared" si="9"/>
        <v>0</v>
      </c>
    </row>
    <row r="257" spans="1:6" ht="18" customHeight="1" thickTop="1" thickBot="1" x14ac:dyDescent="0.3">
      <c r="A257" s="6" t="s">
        <v>92</v>
      </c>
      <c r="B257" s="6"/>
      <c r="C257" s="6" t="s">
        <v>189</v>
      </c>
      <c r="D257" s="11">
        <v>4279</v>
      </c>
      <c r="E257" s="32"/>
      <c r="F257" s="12">
        <f t="shared" si="9"/>
        <v>0</v>
      </c>
    </row>
    <row r="258" spans="1:6" ht="18" customHeight="1" thickTop="1" thickBot="1" x14ac:dyDescent="0.3">
      <c r="A258" s="6" t="s">
        <v>93</v>
      </c>
      <c r="B258" s="6"/>
      <c r="C258" s="6" t="s">
        <v>189</v>
      </c>
      <c r="D258" s="11">
        <v>4325</v>
      </c>
      <c r="E258" s="32"/>
      <c r="F258" s="12">
        <f t="shared" si="9"/>
        <v>0</v>
      </c>
    </row>
    <row r="259" spans="1:6" ht="18" customHeight="1" thickTop="1" thickBot="1" x14ac:dyDescent="0.3">
      <c r="A259" s="6" t="s">
        <v>87</v>
      </c>
      <c r="B259" s="6"/>
      <c r="C259" s="6" t="s">
        <v>189</v>
      </c>
      <c r="D259" s="11">
        <v>4496</v>
      </c>
      <c r="E259" s="32"/>
      <c r="F259" s="12">
        <f t="shared" si="9"/>
        <v>0</v>
      </c>
    </row>
    <row r="260" spans="1:6" ht="18" customHeight="1" thickTop="1" thickBot="1" x14ac:dyDescent="0.3">
      <c r="A260" s="6" t="s">
        <v>365</v>
      </c>
      <c r="B260" s="6"/>
      <c r="C260" s="6" t="s">
        <v>189</v>
      </c>
      <c r="D260" s="11">
        <v>478</v>
      </c>
      <c r="E260" s="32"/>
      <c r="F260" s="12">
        <f t="shared" si="9"/>
        <v>0</v>
      </c>
    </row>
    <row r="261" spans="1:6" ht="18" customHeight="1" thickTop="1" thickBot="1" x14ac:dyDescent="0.3">
      <c r="A261" s="51" t="s">
        <v>305</v>
      </c>
      <c r="B261" s="52"/>
      <c r="C261" s="52"/>
      <c r="D261" s="52"/>
      <c r="E261" s="52"/>
      <c r="F261" s="52"/>
    </row>
    <row r="262" spans="1:6" ht="18" customHeight="1" thickTop="1" thickBot="1" x14ac:dyDescent="0.3">
      <c r="A262" s="6" t="s">
        <v>94</v>
      </c>
      <c r="B262" s="6"/>
      <c r="C262" s="6" t="s">
        <v>189</v>
      </c>
      <c r="D262" s="11">
        <v>4738</v>
      </c>
      <c r="E262" s="32"/>
      <c r="F262" s="12">
        <f t="shared" si="9"/>
        <v>0</v>
      </c>
    </row>
    <row r="263" spans="1:6" ht="18" customHeight="1" thickTop="1" thickBot="1" x14ac:dyDescent="0.3">
      <c r="A263" s="6" t="s">
        <v>95</v>
      </c>
      <c r="B263" s="6"/>
      <c r="C263" s="6" t="s">
        <v>189</v>
      </c>
      <c r="D263" s="11">
        <v>4738</v>
      </c>
      <c r="E263" s="32"/>
      <c r="F263" s="12">
        <f t="shared" si="9"/>
        <v>0</v>
      </c>
    </row>
    <row r="264" spans="1:6" ht="18" customHeight="1" thickTop="1" thickBot="1" x14ac:dyDescent="0.3">
      <c r="A264" s="6" t="s">
        <v>96</v>
      </c>
      <c r="B264" s="6"/>
      <c r="C264" s="6" t="s">
        <v>189</v>
      </c>
      <c r="D264" s="11">
        <v>4738</v>
      </c>
      <c r="E264" s="32"/>
      <c r="F264" s="12">
        <f t="shared" si="9"/>
        <v>0</v>
      </c>
    </row>
    <row r="265" spans="1:6" ht="18" customHeight="1" thickTop="1" thickBot="1" x14ac:dyDescent="0.3">
      <c r="A265" s="6" t="s">
        <v>97</v>
      </c>
      <c r="B265" s="6"/>
      <c r="C265" s="6" t="s">
        <v>189</v>
      </c>
      <c r="D265" s="11">
        <v>4786</v>
      </c>
      <c r="E265" s="32"/>
      <c r="F265" s="12">
        <f t="shared" si="9"/>
        <v>0</v>
      </c>
    </row>
    <row r="266" spans="1:6" ht="18" customHeight="1" thickTop="1" thickBot="1" x14ac:dyDescent="0.3">
      <c r="A266" s="6" t="s">
        <v>98</v>
      </c>
      <c r="B266" s="6"/>
      <c r="C266" s="6" t="s">
        <v>189</v>
      </c>
      <c r="D266" s="11">
        <v>4834</v>
      </c>
      <c r="E266" s="32"/>
      <c r="F266" s="12">
        <f t="shared" si="9"/>
        <v>0</v>
      </c>
    </row>
    <row r="267" spans="1:6" ht="18" customHeight="1" thickTop="1" thickBot="1" x14ac:dyDescent="0.3">
      <c r="A267" s="6" t="s">
        <v>99</v>
      </c>
      <c r="B267" s="6"/>
      <c r="C267" s="6" t="s">
        <v>189</v>
      </c>
      <c r="D267" s="11">
        <v>4883</v>
      </c>
      <c r="E267" s="32"/>
      <c r="F267" s="12">
        <f t="shared" si="9"/>
        <v>0</v>
      </c>
    </row>
    <row r="268" spans="1:6" ht="18.600000000000001" customHeight="1" thickTop="1" thickBot="1" x14ac:dyDescent="0.3">
      <c r="A268" s="6" t="s">
        <v>100</v>
      </c>
      <c r="B268" s="6"/>
      <c r="C268" s="6" t="s">
        <v>189</v>
      </c>
      <c r="D268" s="11">
        <v>5138</v>
      </c>
      <c r="E268" s="32"/>
      <c r="F268" s="12">
        <f t="shared" si="9"/>
        <v>0</v>
      </c>
    </row>
    <row r="269" spans="1:6" ht="18.600000000000001" customHeight="1" thickTop="1" thickBot="1" x14ac:dyDescent="0.3">
      <c r="A269" s="6" t="s">
        <v>101</v>
      </c>
      <c r="B269" s="6"/>
      <c r="C269" s="6" t="s">
        <v>189</v>
      </c>
      <c r="D269" s="11">
        <v>5471</v>
      </c>
      <c r="E269" s="32"/>
      <c r="F269" s="12">
        <f t="shared" si="9"/>
        <v>0</v>
      </c>
    </row>
    <row r="270" spans="1:6" ht="18.600000000000001" customHeight="1" thickTop="1" thickBot="1" x14ac:dyDescent="0.3">
      <c r="A270" s="51" t="s">
        <v>306</v>
      </c>
      <c r="B270" s="52"/>
      <c r="C270" s="52"/>
      <c r="D270" s="52"/>
      <c r="E270" s="52"/>
      <c r="F270" s="52"/>
    </row>
    <row r="271" spans="1:6" ht="25.5" customHeight="1" thickTop="1" thickBot="1" x14ac:dyDescent="0.3">
      <c r="A271" s="6" t="s">
        <v>366</v>
      </c>
      <c r="B271" s="6"/>
      <c r="C271" s="6" t="s">
        <v>189</v>
      </c>
      <c r="D271" s="11">
        <v>8000</v>
      </c>
      <c r="E271" s="32"/>
      <c r="F271" s="12">
        <f t="shared" si="9"/>
        <v>0</v>
      </c>
    </row>
    <row r="272" spans="1:6" ht="33" customHeight="1" thickTop="1" thickBot="1" x14ac:dyDescent="0.3">
      <c r="A272" s="6" t="s">
        <v>102</v>
      </c>
      <c r="B272" s="6"/>
      <c r="C272" s="6" t="s">
        <v>189</v>
      </c>
      <c r="D272" s="11">
        <v>8000</v>
      </c>
      <c r="E272" s="32"/>
      <c r="F272" s="12">
        <f t="shared" si="9"/>
        <v>0</v>
      </c>
    </row>
    <row r="273" spans="1:6" ht="27.75" customHeight="1" thickTop="1" thickBot="1" x14ac:dyDescent="0.3">
      <c r="A273" s="6" t="s">
        <v>103</v>
      </c>
      <c r="B273" s="6"/>
      <c r="C273" s="6" t="s">
        <v>189</v>
      </c>
      <c r="D273" s="11">
        <v>8000</v>
      </c>
      <c r="E273" s="32"/>
      <c r="F273" s="12">
        <f t="shared" si="9"/>
        <v>0</v>
      </c>
    </row>
    <row r="274" spans="1:6" ht="23.25" customHeight="1" thickTop="1" thickBot="1" x14ac:dyDescent="0.3">
      <c r="A274" s="6" t="s">
        <v>104</v>
      </c>
      <c r="B274" s="6"/>
      <c r="C274" s="6" t="s">
        <v>189</v>
      </c>
      <c r="D274" s="11">
        <v>8000</v>
      </c>
      <c r="E274" s="32"/>
      <c r="F274" s="12">
        <f t="shared" si="9"/>
        <v>0</v>
      </c>
    </row>
    <row r="275" spans="1:6" ht="27" customHeight="1" thickTop="1" thickBot="1" x14ac:dyDescent="0.3">
      <c r="A275" s="6" t="s">
        <v>105</v>
      </c>
      <c r="B275" s="6"/>
      <c r="C275" s="6" t="s">
        <v>189</v>
      </c>
      <c r="D275" s="11">
        <v>8000</v>
      </c>
      <c r="E275" s="32"/>
      <c r="F275" s="12">
        <f t="shared" si="9"/>
        <v>0</v>
      </c>
    </row>
    <row r="276" spans="1:6" ht="23.25" customHeight="1" thickTop="1" thickBot="1" x14ac:dyDescent="0.3">
      <c r="A276" s="6" t="s">
        <v>106</v>
      </c>
      <c r="B276" s="6"/>
      <c r="C276" s="6" t="s">
        <v>189</v>
      </c>
      <c r="D276" s="11">
        <v>8000</v>
      </c>
      <c r="E276" s="32"/>
      <c r="F276" s="12">
        <f t="shared" si="9"/>
        <v>0</v>
      </c>
    </row>
    <row r="277" spans="1:6" ht="22.5" customHeight="1" thickTop="1" thickBot="1" x14ac:dyDescent="0.3">
      <c r="A277" s="6" t="s">
        <v>107</v>
      </c>
      <c r="B277" s="6"/>
      <c r="C277" s="6" t="s">
        <v>189</v>
      </c>
      <c r="D277" s="11">
        <v>8200</v>
      </c>
      <c r="E277" s="32"/>
      <c r="F277" s="12">
        <f t="shared" si="9"/>
        <v>0</v>
      </c>
    </row>
    <row r="278" spans="1:6" ht="22.5" thickTop="1" thickBot="1" x14ac:dyDescent="0.3">
      <c r="A278" s="63" t="s">
        <v>51</v>
      </c>
      <c r="B278" s="64"/>
      <c r="C278" s="64"/>
      <c r="D278" s="64"/>
      <c r="E278" s="64"/>
      <c r="F278" s="65"/>
    </row>
    <row r="279" spans="1:6" ht="22.5" thickTop="1" thickBot="1" x14ac:dyDescent="0.3">
      <c r="A279" s="51" t="s">
        <v>369</v>
      </c>
      <c r="B279" s="52"/>
      <c r="C279" s="52"/>
      <c r="D279" s="52"/>
      <c r="E279" s="52"/>
      <c r="F279" s="52"/>
    </row>
    <row r="280" spans="1:6" ht="39" thickTop="1" thickBot="1" x14ac:dyDescent="0.3">
      <c r="A280" s="6" t="s">
        <v>368</v>
      </c>
      <c r="B280" s="6"/>
      <c r="C280" s="6" t="s">
        <v>189</v>
      </c>
      <c r="D280" s="11">
        <v>550</v>
      </c>
      <c r="E280" s="32"/>
      <c r="F280" s="12">
        <f>D280*E280</f>
        <v>0</v>
      </c>
    </row>
    <row r="281" spans="1:6" ht="20.25" thickTop="1" thickBot="1" x14ac:dyDescent="0.3">
      <c r="A281" s="6" t="s">
        <v>149</v>
      </c>
      <c r="B281" s="6"/>
      <c r="C281" s="6" t="s">
        <v>189</v>
      </c>
      <c r="D281" s="11">
        <v>825</v>
      </c>
      <c r="E281" s="32"/>
      <c r="F281" s="12">
        <f t="shared" si="9"/>
        <v>0</v>
      </c>
    </row>
    <row r="282" spans="1:6" ht="20.25" thickTop="1" thickBot="1" x14ac:dyDescent="0.3">
      <c r="A282" s="6" t="s">
        <v>151</v>
      </c>
      <c r="B282" s="6"/>
      <c r="C282" s="6" t="s">
        <v>189</v>
      </c>
      <c r="D282" s="11">
        <v>880</v>
      </c>
      <c r="E282" s="32"/>
      <c r="F282" s="12">
        <f t="shared" si="9"/>
        <v>0</v>
      </c>
    </row>
    <row r="283" spans="1:6" ht="20.25" thickTop="1" thickBot="1" x14ac:dyDescent="0.3">
      <c r="A283" s="6" t="s">
        <v>150</v>
      </c>
      <c r="B283" s="6"/>
      <c r="C283" s="6" t="s">
        <v>189</v>
      </c>
      <c r="D283" s="11">
        <v>931</v>
      </c>
      <c r="E283" s="32"/>
      <c r="F283" s="12">
        <f t="shared" si="9"/>
        <v>0</v>
      </c>
    </row>
    <row r="284" spans="1:6" ht="20.25" thickTop="1" thickBot="1" x14ac:dyDescent="0.3">
      <c r="A284" s="6" t="s">
        <v>152</v>
      </c>
      <c r="B284" s="6"/>
      <c r="C284" s="6" t="s">
        <v>189</v>
      </c>
      <c r="D284" s="11">
        <v>980</v>
      </c>
      <c r="E284" s="32">
        <v>0</v>
      </c>
      <c r="F284" s="12">
        <f t="shared" si="9"/>
        <v>0</v>
      </c>
    </row>
    <row r="285" spans="1:6" ht="20.25" thickTop="1" thickBot="1" x14ac:dyDescent="0.3">
      <c r="A285" s="6" t="s">
        <v>153</v>
      </c>
      <c r="B285" s="6"/>
      <c r="C285" s="6" t="s">
        <v>189</v>
      </c>
      <c r="D285" s="11">
        <v>1045</v>
      </c>
      <c r="E285" s="32">
        <v>0</v>
      </c>
      <c r="F285" s="12">
        <f t="shared" si="9"/>
        <v>0</v>
      </c>
    </row>
    <row r="286" spans="1:6" ht="39" thickTop="1" thickBot="1" x14ac:dyDescent="0.3">
      <c r="A286" s="6" t="s">
        <v>367</v>
      </c>
      <c r="B286" s="6"/>
      <c r="C286" s="6" t="s">
        <v>189</v>
      </c>
      <c r="D286" s="11">
        <v>900</v>
      </c>
      <c r="E286" s="32"/>
      <c r="F286" s="12">
        <f t="shared" si="9"/>
        <v>0</v>
      </c>
    </row>
    <row r="287" spans="1:6" ht="22.5" thickTop="1" thickBot="1" x14ac:dyDescent="0.3">
      <c r="A287" s="51" t="s">
        <v>370</v>
      </c>
      <c r="B287" s="52"/>
      <c r="C287" s="52"/>
      <c r="D287" s="52"/>
      <c r="E287" s="52"/>
      <c r="F287" s="52"/>
    </row>
    <row r="288" spans="1:6" ht="20.25" thickTop="1" thickBot="1" x14ac:dyDescent="0.3">
      <c r="A288" s="6" t="s">
        <v>122</v>
      </c>
      <c r="B288" s="6"/>
      <c r="C288" s="6" t="s">
        <v>189</v>
      </c>
      <c r="D288" s="11">
        <v>849</v>
      </c>
      <c r="E288" s="32"/>
      <c r="F288" s="12">
        <f t="shared" si="9"/>
        <v>0</v>
      </c>
    </row>
    <row r="289" spans="1:6" ht="20.25" thickTop="1" thickBot="1" x14ac:dyDescent="0.3">
      <c r="A289" s="6" t="s">
        <v>123</v>
      </c>
      <c r="B289" s="6"/>
      <c r="C289" s="6" t="s">
        <v>189</v>
      </c>
      <c r="D289" s="11">
        <v>928</v>
      </c>
      <c r="E289" s="32"/>
      <c r="F289" s="12">
        <f t="shared" si="9"/>
        <v>0</v>
      </c>
    </row>
    <row r="290" spans="1:6" ht="20.25" thickTop="1" thickBot="1" x14ac:dyDescent="0.3">
      <c r="A290" s="6" t="s">
        <v>124</v>
      </c>
      <c r="B290" s="6"/>
      <c r="C290" s="6" t="s">
        <v>189</v>
      </c>
      <c r="D290" s="11">
        <v>990</v>
      </c>
      <c r="E290" s="32"/>
      <c r="F290" s="12">
        <f t="shared" si="9"/>
        <v>0</v>
      </c>
    </row>
    <row r="291" spans="1:6" ht="20.25" thickTop="1" thickBot="1" x14ac:dyDescent="0.3">
      <c r="A291" s="6" t="s">
        <v>125</v>
      </c>
      <c r="B291" s="6"/>
      <c r="C291" s="6" t="s">
        <v>189</v>
      </c>
      <c r="D291" s="11">
        <v>1050</v>
      </c>
      <c r="E291" s="32"/>
      <c r="F291" s="12">
        <f t="shared" si="9"/>
        <v>0</v>
      </c>
    </row>
    <row r="292" spans="1:6" ht="20.25" thickTop="1" thickBot="1" x14ac:dyDescent="0.3">
      <c r="A292" s="6" t="s">
        <v>126</v>
      </c>
      <c r="B292" s="6"/>
      <c r="C292" s="6" t="s">
        <v>189</v>
      </c>
      <c r="D292" s="11">
        <v>1135</v>
      </c>
      <c r="E292" s="32"/>
      <c r="F292" s="12">
        <f t="shared" si="9"/>
        <v>0</v>
      </c>
    </row>
    <row r="293" spans="1:6" ht="22.5" thickTop="1" thickBot="1" x14ac:dyDescent="0.3">
      <c r="A293" s="63" t="s">
        <v>371</v>
      </c>
      <c r="B293" s="64"/>
      <c r="C293" s="64"/>
      <c r="D293" s="64"/>
      <c r="E293" s="64"/>
      <c r="F293" s="65"/>
    </row>
    <row r="294" spans="1:6" ht="39" thickTop="1" thickBot="1" x14ac:dyDescent="0.3">
      <c r="A294" s="6" t="s">
        <v>154</v>
      </c>
      <c r="B294" s="6"/>
      <c r="C294" s="6" t="s">
        <v>189</v>
      </c>
      <c r="D294" s="11">
        <v>9526</v>
      </c>
      <c r="E294" s="28"/>
      <c r="F294" s="12">
        <f t="shared" ref="F294:F302" si="10">D294*E294</f>
        <v>0</v>
      </c>
    </row>
    <row r="295" spans="1:6" ht="39" thickTop="1" thickBot="1" x14ac:dyDescent="0.3">
      <c r="A295" s="6" t="s">
        <v>155</v>
      </c>
      <c r="B295" s="6"/>
      <c r="C295" s="6" t="s">
        <v>189</v>
      </c>
      <c r="D295" s="11">
        <v>10557</v>
      </c>
      <c r="E295" s="28"/>
      <c r="F295" s="12">
        <f t="shared" si="10"/>
        <v>0</v>
      </c>
    </row>
    <row r="296" spans="1:6" ht="20.25" thickTop="1" thickBot="1" x14ac:dyDescent="0.3">
      <c r="A296" s="3" t="s">
        <v>372</v>
      </c>
      <c r="B296" s="3"/>
      <c r="C296" s="6" t="s">
        <v>189</v>
      </c>
      <c r="D296" s="11">
        <v>6450</v>
      </c>
      <c r="E296" s="28"/>
      <c r="F296" s="12">
        <f t="shared" si="10"/>
        <v>0</v>
      </c>
    </row>
    <row r="297" spans="1:6" ht="39" thickTop="1" thickBot="1" x14ac:dyDescent="0.3">
      <c r="A297" s="6" t="s">
        <v>373</v>
      </c>
      <c r="B297" s="6"/>
      <c r="C297" s="6" t="s">
        <v>189</v>
      </c>
      <c r="D297" s="11">
        <v>7370</v>
      </c>
      <c r="E297" s="28"/>
      <c r="F297" s="12">
        <f t="shared" si="10"/>
        <v>0</v>
      </c>
    </row>
    <row r="298" spans="1:6" ht="20.25" thickTop="1" thickBot="1" x14ac:dyDescent="0.3">
      <c r="A298" s="3" t="s">
        <v>374</v>
      </c>
      <c r="B298" s="6"/>
      <c r="C298" s="6" t="s">
        <v>189</v>
      </c>
      <c r="D298" s="11">
        <v>3000</v>
      </c>
      <c r="E298" s="28"/>
      <c r="F298" s="12">
        <f t="shared" si="10"/>
        <v>0</v>
      </c>
    </row>
    <row r="299" spans="1:6" ht="20.25" thickTop="1" thickBot="1" x14ac:dyDescent="0.3">
      <c r="A299" s="3" t="s">
        <v>375</v>
      </c>
      <c r="B299" s="6"/>
      <c r="C299" s="6" t="s">
        <v>189</v>
      </c>
      <c r="D299" s="11">
        <v>3550</v>
      </c>
      <c r="E299" s="28"/>
      <c r="F299" s="12"/>
    </row>
    <row r="300" spans="1:6" ht="20.25" thickTop="1" thickBot="1" x14ac:dyDescent="0.3">
      <c r="A300" s="6" t="s">
        <v>156</v>
      </c>
      <c r="B300" s="6"/>
      <c r="C300" s="6" t="s">
        <v>260</v>
      </c>
      <c r="D300" s="11">
        <v>4929</v>
      </c>
      <c r="E300" s="28"/>
      <c r="F300" s="12">
        <f t="shared" si="10"/>
        <v>0</v>
      </c>
    </row>
    <row r="301" spans="1:6" ht="20.25" thickTop="1" thickBot="1" x14ac:dyDescent="0.3">
      <c r="A301" s="6" t="s">
        <v>157</v>
      </c>
      <c r="B301" s="6"/>
      <c r="C301" s="6" t="s">
        <v>260</v>
      </c>
      <c r="D301" s="11">
        <v>5380</v>
      </c>
      <c r="E301" s="28"/>
      <c r="F301" s="12">
        <f t="shared" si="10"/>
        <v>0</v>
      </c>
    </row>
    <row r="302" spans="1:6" ht="20.25" thickTop="1" thickBot="1" x14ac:dyDescent="0.3">
      <c r="A302" s="6" t="s">
        <v>158</v>
      </c>
      <c r="B302" s="6"/>
      <c r="C302" s="6" t="s">
        <v>260</v>
      </c>
      <c r="D302" s="11">
        <v>7208</v>
      </c>
      <c r="E302" s="28"/>
      <c r="F302" s="12">
        <f t="shared" si="10"/>
        <v>0</v>
      </c>
    </row>
    <row r="303" spans="1:6" ht="22.5" thickTop="1" thickBot="1" x14ac:dyDescent="0.3">
      <c r="A303" s="58" t="s">
        <v>52</v>
      </c>
      <c r="B303" s="59"/>
      <c r="C303" s="59"/>
      <c r="D303" s="59"/>
      <c r="E303" s="59"/>
      <c r="F303" s="60"/>
    </row>
    <row r="304" spans="1:6" ht="20.25" thickTop="1" thickBot="1" x14ac:dyDescent="0.3">
      <c r="A304" s="6" t="s">
        <v>175</v>
      </c>
      <c r="B304" s="6"/>
      <c r="C304" s="6" t="s">
        <v>189</v>
      </c>
      <c r="D304" s="11">
        <v>1835</v>
      </c>
      <c r="E304" s="14"/>
      <c r="F304" s="12">
        <f t="shared" ref="F304:F312" si="11">D304*E304</f>
        <v>0</v>
      </c>
    </row>
    <row r="305" spans="1:6" ht="20.25" thickTop="1" thickBot="1" x14ac:dyDescent="0.3">
      <c r="A305" s="6" t="s">
        <v>173</v>
      </c>
      <c r="B305" s="6"/>
      <c r="C305" s="6" t="s">
        <v>189</v>
      </c>
      <c r="D305" s="11">
        <v>1860</v>
      </c>
      <c r="E305" s="14">
        <v>0</v>
      </c>
      <c r="F305" s="12">
        <f t="shared" si="11"/>
        <v>0</v>
      </c>
    </row>
    <row r="306" spans="1:6" ht="20.25" thickTop="1" thickBot="1" x14ac:dyDescent="0.3">
      <c r="A306" s="6" t="s">
        <v>174</v>
      </c>
      <c r="B306" s="6"/>
      <c r="C306" s="6" t="s">
        <v>189</v>
      </c>
      <c r="D306" s="11">
        <v>3550</v>
      </c>
      <c r="E306" s="14"/>
      <c r="F306" s="12">
        <f t="shared" si="11"/>
        <v>0</v>
      </c>
    </row>
    <row r="307" spans="1:6" ht="20.25" thickTop="1" thickBot="1" x14ac:dyDescent="0.3">
      <c r="A307" s="6" t="s">
        <v>172</v>
      </c>
      <c r="B307" s="6"/>
      <c r="C307" s="6" t="s">
        <v>189</v>
      </c>
      <c r="D307" s="11">
        <v>769</v>
      </c>
      <c r="E307" s="14"/>
      <c r="F307" s="12">
        <f t="shared" si="11"/>
        <v>0</v>
      </c>
    </row>
    <row r="308" spans="1:6" ht="20.25" thickTop="1" thickBot="1" x14ac:dyDescent="0.3">
      <c r="A308" s="6" t="s">
        <v>171</v>
      </c>
      <c r="B308" s="6"/>
      <c r="C308" s="6" t="s">
        <v>189</v>
      </c>
      <c r="D308" s="11">
        <v>1500</v>
      </c>
      <c r="E308" s="14">
        <v>0</v>
      </c>
      <c r="F308" s="12">
        <f>D308*E308</f>
        <v>0</v>
      </c>
    </row>
    <row r="309" spans="1:6" ht="39" thickTop="1" thickBot="1" x14ac:dyDescent="0.3">
      <c r="A309" s="6" t="s">
        <v>376</v>
      </c>
      <c r="B309" s="6"/>
      <c r="C309" s="6" t="s">
        <v>189</v>
      </c>
      <c r="D309" s="11"/>
      <c r="E309" s="14"/>
      <c r="F309" s="12"/>
    </row>
    <row r="310" spans="1:6" ht="39" thickTop="1" thickBot="1" x14ac:dyDescent="0.3">
      <c r="A310" s="6" t="s">
        <v>377</v>
      </c>
      <c r="B310" s="6"/>
      <c r="C310" s="6" t="s">
        <v>189</v>
      </c>
      <c r="D310" s="11"/>
      <c r="E310" s="14"/>
      <c r="F310" s="12"/>
    </row>
    <row r="311" spans="1:6" ht="39" thickTop="1" thickBot="1" x14ac:dyDescent="0.3">
      <c r="A311" s="6" t="s">
        <v>378</v>
      </c>
      <c r="B311" s="6"/>
      <c r="C311" s="6" t="s">
        <v>189</v>
      </c>
      <c r="D311" s="11"/>
      <c r="E311" s="14"/>
      <c r="F311" s="12"/>
    </row>
    <row r="312" spans="1:6" ht="39" thickTop="1" thickBot="1" x14ac:dyDescent="0.3">
      <c r="A312" s="6" t="s">
        <v>379</v>
      </c>
      <c r="B312" s="6"/>
      <c r="C312" s="6" t="s">
        <v>189</v>
      </c>
      <c r="D312" s="11">
        <v>1318</v>
      </c>
      <c r="E312" s="14"/>
      <c r="F312" s="12">
        <f t="shared" si="11"/>
        <v>0</v>
      </c>
    </row>
    <row r="313" spans="1:6" ht="22.5" thickTop="1" thickBot="1" x14ac:dyDescent="0.3">
      <c r="A313" s="58" t="s">
        <v>309</v>
      </c>
      <c r="B313" s="59"/>
      <c r="C313" s="59"/>
      <c r="D313" s="59"/>
      <c r="E313" s="59"/>
      <c r="F313" s="60"/>
    </row>
    <row r="314" spans="1:6" ht="20.25" thickTop="1" thickBot="1" x14ac:dyDescent="0.3">
      <c r="A314" s="6" t="s">
        <v>159</v>
      </c>
      <c r="B314" s="6"/>
      <c r="C314" s="6"/>
      <c r="D314" s="11">
        <v>4250</v>
      </c>
      <c r="E314" s="28"/>
      <c r="F314" s="12">
        <f>D314*E314</f>
        <v>0</v>
      </c>
    </row>
    <row r="315" spans="1:6" ht="20.25" thickTop="1" thickBot="1" x14ac:dyDescent="0.3">
      <c r="A315" s="6" t="s">
        <v>160</v>
      </c>
      <c r="B315" s="6"/>
      <c r="C315" s="6"/>
      <c r="D315" s="11">
        <v>2000</v>
      </c>
      <c r="E315" s="28"/>
      <c r="F315" s="12">
        <f>D315*E315</f>
        <v>0</v>
      </c>
    </row>
    <row r="316" spans="1:6" ht="39" thickTop="1" thickBot="1" x14ac:dyDescent="0.3">
      <c r="A316" s="6" t="s">
        <v>170</v>
      </c>
      <c r="B316" s="6"/>
      <c r="C316" s="6"/>
      <c r="D316" s="11"/>
      <c r="E316" s="28"/>
      <c r="F316" s="12">
        <f>D316*E316</f>
        <v>0</v>
      </c>
    </row>
    <row r="317" spans="1:6" ht="20.25" thickTop="1" thickBot="1" x14ac:dyDescent="0.3">
      <c r="A317" s="6" t="s">
        <v>161</v>
      </c>
      <c r="B317" s="6"/>
      <c r="C317" s="6"/>
      <c r="D317" s="11">
        <v>2230</v>
      </c>
      <c r="E317" s="28"/>
      <c r="F317" s="12">
        <f>D317*E317</f>
        <v>0</v>
      </c>
    </row>
    <row r="318" spans="1:6" ht="22.5" thickTop="1" thickBot="1" x14ac:dyDescent="0.3">
      <c r="A318" s="63" t="s">
        <v>38</v>
      </c>
      <c r="B318" s="64"/>
      <c r="C318" s="64"/>
      <c r="D318" s="64"/>
      <c r="E318" s="64"/>
      <c r="F318" s="65"/>
    </row>
    <row r="319" spans="1:6" ht="39" thickTop="1" thickBot="1" x14ac:dyDescent="0.3">
      <c r="A319" s="6" t="s">
        <v>146</v>
      </c>
      <c r="B319" s="6"/>
      <c r="C319" s="6"/>
      <c r="D319" s="11">
        <v>13930</v>
      </c>
      <c r="E319" s="28"/>
      <c r="F319" s="12">
        <f>D319*E319</f>
        <v>0</v>
      </c>
    </row>
    <row r="320" spans="1:6" ht="39" thickTop="1" thickBot="1" x14ac:dyDescent="0.3">
      <c r="A320" s="6" t="s">
        <v>147</v>
      </c>
      <c r="B320" s="6"/>
      <c r="C320" s="6"/>
      <c r="D320" s="11">
        <v>6441</v>
      </c>
      <c r="E320" s="28"/>
      <c r="F320" s="12">
        <f>D320*E320</f>
        <v>0</v>
      </c>
    </row>
    <row r="321" spans="1:6" ht="39" thickTop="1" thickBot="1" x14ac:dyDescent="0.3">
      <c r="A321" s="6" t="s">
        <v>148</v>
      </c>
      <c r="B321" s="6"/>
      <c r="C321" s="6"/>
      <c r="D321" s="11">
        <v>9548</v>
      </c>
      <c r="E321" s="28"/>
      <c r="F321" s="12">
        <f>D321*E321</f>
        <v>0</v>
      </c>
    </row>
    <row r="322" spans="1:6" ht="22.5" thickTop="1" thickBot="1" x14ac:dyDescent="0.3">
      <c r="A322" s="58" t="s">
        <v>53</v>
      </c>
      <c r="B322" s="59"/>
      <c r="C322" s="59"/>
      <c r="D322" s="59"/>
      <c r="E322" s="59"/>
      <c r="F322" s="59"/>
    </row>
    <row r="323" spans="1:6" ht="20.25" thickTop="1" thickBot="1" x14ac:dyDescent="0.3">
      <c r="A323" s="6" t="s">
        <v>176</v>
      </c>
      <c r="B323" s="6"/>
      <c r="C323" s="6"/>
      <c r="D323" s="11">
        <v>1651</v>
      </c>
      <c r="E323" s="14">
        <v>0</v>
      </c>
      <c r="F323" s="12">
        <f>D323*E323</f>
        <v>0</v>
      </c>
    </row>
    <row r="324" spans="1:6" ht="20.25" thickTop="1" thickBot="1" x14ac:dyDescent="0.3">
      <c r="A324" s="6" t="s">
        <v>177</v>
      </c>
      <c r="B324" s="6"/>
      <c r="C324" s="6"/>
      <c r="D324" s="11">
        <v>1820</v>
      </c>
      <c r="E324" s="14">
        <v>0</v>
      </c>
      <c r="F324" s="12">
        <f>D324*E324</f>
        <v>0</v>
      </c>
    </row>
    <row r="325" spans="1:6" ht="20.25" thickTop="1" thickBot="1" x14ac:dyDescent="0.3">
      <c r="A325" s="6" t="s">
        <v>178</v>
      </c>
      <c r="B325" s="6"/>
      <c r="C325" s="6"/>
      <c r="D325" s="11">
        <v>1171</v>
      </c>
      <c r="E325" s="14">
        <v>0</v>
      </c>
      <c r="F325" s="12">
        <f>D325*E325</f>
        <v>0</v>
      </c>
    </row>
    <row r="326" spans="1:6" ht="20.25" thickTop="1" thickBot="1" x14ac:dyDescent="0.3">
      <c r="A326" s="6" t="s">
        <v>179</v>
      </c>
      <c r="B326" s="6"/>
      <c r="C326" s="6"/>
      <c r="D326" s="11">
        <v>1555</v>
      </c>
      <c r="E326" s="14">
        <v>0</v>
      </c>
      <c r="F326" s="12">
        <f>D326*E326</f>
        <v>0</v>
      </c>
    </row>
    <row r="327" spans="1:6" ht="22.5" thickTop="1" thickBot="1" x14ac:dyDescent="0.3">
      <c r="A327" s="58" t="s">
        <v>320</v>
      </c>
      <c r="B327" s="59"/>
      <c r="C327" s="59"/>
      <c r="D327" s="59"/>
      <c r="E327" s="59"/>
      <c r="F327" s="60"/>
    </row>
    <row r="328" spans="1:6" ht="20.25" thickTop="1" thickBot="1" x14ac:dyDescent="0.3">
      <c r="A328" s="6" t="s">
        <v>142</v>
      </c>
      <c r="B328" s="6"/>
      <c r="C328" s="6"/>
      <c r="D328" s="11">
        <v>2599</v>
      </c>
      <c r="E328" s="15"/>
      <c r="F328" s="12">
        <f t="shared" ref="F328:F337" si="12">D328*E328</f>
        <v>0</v>
      </c>
    </row>
    <row r="329" spans="1:6" ht="39" thickTop="1" thickBot="1" x14ac:dyDescent="0.3">
      <c r="A329" s="6" t="s">
        <v>143</v>
      </c>
      <c r="B329" s="6"/>
      <c r="C329" s="6"/>
      <c r="D329" s="11">
        <v>226</v>
      </c>
      <c r="E329" s="15"/>
      <c r="F329" s="12">
        <f t="shared" si="12"/>
        <v>0</v>
      </c>
    </row>
    <row r="330" spans="1:6" ht="20.25" thickTop="1" thickBot="1" x14ac:dyDescent="0.3">
      <c r="A330" s="6" t="s">
        <v>144</v>
      </c>
      <c r="B330" s="6"/>
      <c r="C330" s="6"/>
      <c r="D330" s="11">
        <v>407</v>
      </c>
      <c r="E330" s="15"/>
      <c r="F330" s="12">
        <f t="shared" si="12"/>
        <v>0</v>
      </c>
    </row>
    <row r="331" spans="1:6" ht="20.25" thickTop="1" thickBot="1" x14ac:dyDescent="0.3">
      <c r="A331" s="6" t="s">
        <v>145</v>
      </c>
      <c r="B331" s="6"/>
      <c r="C331" s="6"/>
      <c r="D331" s="11">
        <v>17</v>
      </c>
      <c r="E331" s="15"/>
      <c r="F331" s="12">
        <f t="shared" si="12"/>
        <v>0</v>
      </c>
    </row>
    <row r="332" spans="1:6" ht="20.25" thickTop="1" thickBot="1" x14ac:dyDescent="0.3">
      <c r="A332" s="6" t="s">
        <v>384</v>
      </c>
      <c r="B332" s="6"/>
      <c r="C332" s="6"/>
      <c r="D332" s="11">
        <v>500</v>
      </c>
      <c r="E332" s="15">
        <v>2</v>
      </c>
      <c r="F332" s="12">
        <f t="shared" si="12"/>
        <v>1000</v>
      </c>
    </row>
    <row r="333" spans="1:6" ht="22.5" thickTop="1" thickBot="1" x14ac:dyDescent="0.3">
      <c r="A333" s="58" t="s">
        <v>39</v>
      </c>
      <c r="B333" s="59"/>
      <c r="C333" s="59"/>
      <c r="D333" s="59"/>
      <c r="E333" s="59"/>
      <c r="F333" s="60"/>
    </row>
    <row r="334" spans="1:6" ht="39" thickTop="1" thickBot="1" x14ac:dyDescent="0.3">
      <c r="A334" s="6" t="s">
        <v>138</v>
      </c>
      <c r="B334" s="6"/>
      <c r="C334" s="6"/>
      <c r="D334" s="11">
        <v>1200</v>
      </c>
      <c r="E334" s="14">
        <v>0</v>
      </c>
      <c r="F334" s="12">
        <f t="shared" si="12"/>
        <v>0</v>
      </c>
    </row>
    <row r="335" spans="1:6" ht="20.25" thickTop="1" thickBot="1" x14ac:dyDescent="0.3">
      <c r="A335" s="6" t="s">
        <v>381</v>
      </c>
      <c r="B335" s="6"/>
      <c r="C335" s="6"/>
      <c r="D335" s="11">
        <v>1000</v>
      </c>
      <c r="E335" s="14">
        <v>2</v>
      </c>
      <c r="F335" s="12">
        <f t="shared" si="12"/>
        <v>2000</v>
      </c>
    </row>
    <row r="336" spans="1:6" ht="39" thickTop="1" thickBot="1" x14ac:dyDescent="0.3">
      <c r="A336" s="6" t="s">
        <v>137</v>
      </c>
      <c r="B336" s="6"/>
      <c r="C336" s="6"/>
      <c r="D336" s="11">
        <v>3500</v>
      </c>
      <c r="E336" s="14">
        <v>0</v>
      </c>
      <c r="F336" s="12">
        <f t="shared" si="12"/>
        <v>0</v>
      </c>
    </row>
    <row r="337" spans="1:6" ht="20.25" thickTop="1" thickBot="1" x14ac:dyDescent="0.3">
      <c r="A337" s="6" t="s">
        <v>139</v>
      </c>
      <c r="B337" s="6"/>
      <c r="C337" s="6"/>
      <c r="D337" s="11">
        <v>2060</v>
      </c>
      <c r="E337" s="14">
        <v>0</v>
      </c>
      <c r="F337" s="12">
        <f t="shared" si="12"/>
        <v>0</v>
      </c>
    </row>
    <row r="338" spans="1:6" ht="22.5" thickTop="1" thickBot="1" x14ac:dyDescent="0.3">
      <c r="A338" s="58" t="s">
        <v>62</v>
      </c>
      <c r="B338" s="59"/>
      <c r="C338" s="59"/>
      <c r="D338" s="59"/>
      <c r="E338" s="59"/>
      <c r="F338" s="59"/>
    </row>
    <row r="339" spans="1:6" ht="20.25" thickTop="1" thickBot="1" x14ac:dyDescent="0.3">
      <c r="A339" s="6" t="s">
        <v>383</v>
      </c>
      <c r="B339" s="6"/>
      <c r="C339" s="6"/>
      <c r="D339" s="11">
        <v>700</v>
      </c>
      <c r="E339" s="14">
        <v>4</v>
      </c>
      <c r="F339" s="13">
        <f>D339*E339</f>
        <v>2800</v>
      </c>
    </row>
    <row r="340" spans="1:6" ht="24.75" thickTop="1" thickBot="1" x14ac:dyDescent="0.3">
      <c r="A340" s="68" t="s">
        <v>36</v>
      </c>
      <c r="B340" s="69"/>
      <c r="C340" s="69"/>
      <c r="D340" s="69"/>
      <c r="E340" s="69"/>
      <c r="F340" s="70"/>
    </row>
    <row r="341" spans="1:6" ht="33.75" customHeight="1" thickTop="1" thickBot="1" x14ac:dyDescent="0.3">
      <c r="A341" s="35"/>
      <c r="B341" s="36"/>
      <c r="C341" s="37"/>
      <c r="D341" s="3" t="s">
        <v>30</v>
      </c>
      <c r="E341" s="7">
        <f>F339+F337+F336+F335+F334+F332+F331+F330+F329+F328+F326+F325+F324+F323+F321+F320+F319+F317+F316+F315+F314+F312+F311+F310+F309+F308+F307+F306+F305+F304+F302+F301+F300+F299+F298+F297+F296+F295+F294+F292+F291+F290+F289+F288+F286+F285+F284+F283+F282+F281+F280+F277+F276+F275+F274+F273+F272+F271+F269+F268+F267+F266+F265+F264+F263+F262+F260+F259+F258+F257+F256+F255+F254+F253+F251+F250+F249+F248+F247+F246+F245+F242+F241+F240+F239+F237+F236+F235+F234+F233+F230+F229+F228+F227+F226+F225+F223+F222+F221+F220+F219+F218+F216+F215+F214+F213+F211+F210+F209+F208+F207+F204+F203+F202+F201+F199+F198+F197+F196+F195+F193+F192+F191+F189+F188+F187+F186+F184+F183+F182+F181+F180+F178+F177+F176+F175+F174+F173+F172+F171+F170+F168+F167+F166+F165+F164+F163+F162+F161+F160+F158+F157+F156+F155+F154+F153+F152+F151+F149+F148+F147+F146+F145+F144+F143+F140+F139+F138+F137+F136+F135+F133+F131+F130+F129+F128+F127+F126+F125+F124+F123+F121+F120+F119+F118+F117+F116+F115+F113+F112+F111+F110+F108+F107+F106+F105+F104+F103+F102+F101+F100+F99+F98+F97+F96+F95+F94+F93+F92+F91+F90+F89+F88+F87+F86+F85+F84+F80+F79+F78+F77+F76+F75+F73+F72+F71+F70+F69+F67+F66+F64++F63+F65+F61+F60+F59+F58+F57+F55+F54+F53+F52+F50+F49+F48+F47+F46+F45+F44+F43+F42+F40+F39+F38+F37+F36+F35+F34+F33+F32+F31+F30+F29+F28+F25+F23+F22+F21+F20+F19+F18+F17+F16+F15+F14+F13+F12+F10+F9+F8+F7+F6+F5+F4+F3</f>
        <v>38075</v>
      </c>
      <c r="F341" s="7"/>
    </row>
    <row r="342" spans="1:6" ht="27" customHeight="1" thickTop="1" thickBot="1" x14ac:dyDescent="0.3">
      <c r="A342" s="38"/>
      <c r="B342" s="39"/>
      <c r="C342" s="40"/>
      <c r="D342" s="3" t="s">
        <v>29</v>
      </c>
      <c r="E342" s="7">
        <f>ROUNDUP((0.8*E341),0)</f>
        <v>30460</v>
      </c>
      <c r="F342" s="7"/>
    </row>
    <row r="343" spans="1:6" ht="28.5" customHeight="1" thickTop="1" thickBot="1" x14ac:dyDescent="0.3">
      <c r="A343" s="38"/>
      <c r="B343" s="39"/>
      <c r="C343" s="40"/>
      <c r="D343" s="3" t="s">
        <v>9</v>
      </c>
      <c r="E343" s="7">
        <f>ROUNDUP((0.55*E341),0)</f>
        <v>20942</v>
      </c>
      <c r="F343" s="7"/>
    </row>
    <row r="344" spans="1:6" ht="24.75" customHeight="1" thickTop="1" thickBot="1" x14ac:dyDescent="0.3">
      <c r="A344" s="38"/>
      <c r="B344" s="39"/>
      <c r="C344" s="40"/>
      <c r="D344" s="3" t="s">
        <v>31</v>
      </c>
      <c r="E344" s="7">
        <v>2500</v>
      </c>
      <c r="F344" s="7">
        <f>E344</f>
        <v>2500</v>
      </c>
    </row>
    <row r="345" spans="1:6" ht="19.5" customHeight="1" thickTop="1" thickBot="1" x14ac:dyDescent="0.3">
      <c r="A345" s="38"/>
      <c r="B345" s="39"/>
      <c r="C345" s="40"/>
      <c r="D345" s="3" t="s">
        <v>10</v>
      </c>
      <c r="E345" s="7">
        <v>6500</v>
      </c>
      <c r="F345" s="7">
        <v>10000</v>
      </c>
    </row>
    <row r="346" spans="1:6" ht="31.5" customHeight="1" thickTop="1" thickBot="1" x14ac:dyDescent="0.3">
      <c r="A346" s="38"/>
      <c r="B346" s="39"/>
      <c r="C346" s="40"/>
      <c r="D346" s="3" t="s">
        <v>32</v>
      </c>
      <c r="E346" s="7">
        <f>ROUNDUP((0.08*E341),0)</f>
        <v>3046</v>
      </c>
      <c r="F346" s="7"/>
    </row>
    <row r="347" spans="1:6" ht="29.25" customHeight="1" thickTop="1" thickBot="1" x14ac:dyDescent="0.3">
      <c r="A347" s="38"/>
      <c r="B347" s="39"/>
      <c r="C347" s="40"/>
      <c r="D347" s="3" t="s">
        <v>33</v>
      </c>
      <c r="E347" s="7">
        <f>ROUNDUP((E341*0.05),0)</f>
        <v>1904</v>
      </c>
      <c r="F347" s="7"/>
    </row>
    <row r="348" spans="1:6" ht="36" customHeight="1" thickTop="1" thickBot="1" x14ac:dyDescent="0.3">
      <c r="A348" s="38"/>
      <c r="B348" s="39"/>
      <c r="C348" s="40"/>
      <c r="D348" s="16" t="s">
        <v>35</v>
      </c>
      <c r="E348" s="71">
        <f>ROUNDUP((SUM(E341:E347)),0)</f>
        <v>103427</v>
      </c>
      <c r="F348" s="72"/>
    </row>
    <row r="349" spans="1:6" ht="29.25" customHeight="1" thickTop="1" thickBot="1" x14ac:dyDescent="0.3">
      <c r="A349" s="38"/>
      <c r="B349" s="39"/>
      <c r="C349" s="40"/>
      <c r="D349" s="3" t="s">
        <v>34</v>
      </c>
      <c r="E349" s="73">
        <f>ROUNDUP((0.3*E348),0)</f>
        <v>31029</v>
      </c>
      <c r="F349" s="74"/>
    </row>
    <row r="350" spans="1:6" ht="34.5" customHeight="1" thickTop="1" thickBot="1" x14ac:dyDescent="0.3">
      <c r="A350" s="38"/>
      <c r="B350" s="39"/>
      <c r="C350" s="40"/>
      <c r="D350" s="16" t="s">
        <v>35</v>
      </c>
      <c r="E350" s="71">
        <f>ROUND((E349+E348),0)</f>
        <v>134456</v>
      </c>
      <c r="F350" s="72"/>
    </row>
    <row r="351" spans="1:6" ht="27" customHeight="1" thickTop="1" thickBot="1" x14ac:dyDescent="0.3">
      <c r="A351" s="38"/>
      <c r="B351" s="39"/>
      <c r="C351" s="40"/>
      <c r="D351" s="4" t="s">
        <v>27</v>
      </c>
      <c r="E351" s="73">
        <f>ROUNDUP((E350*0.3)*0.05,0)</f>
        <v>2017</v>
      </c>
      <c r="F351" s="74"/>
    </row>
    <row r="352" spans="1:6" ht="29.25" customHeight="1" thickTop="1" thickBot="1" x14ac:dyDescent="0.3">
      <c r="A352" s="38"/>
      <c r="B352" s="39"/>
      <c r="C352" s="40"/>
      <c r="D352" s="4" t="s">
        <v>12</v>
      </c>
      <c r="E352" s="73">
        <v>0</v>
      </c>
      <c r="F352" s="74"/>
    </row>
    <row r="353" spans="1:6" ht="20.25" thickTop="1" thickBot="1" x14ac:dyDescent="0.3">
      <c r="A353" s="38"/>
      <c r="B353" s="39"/>
      <c r="C353" s="40"/>
      <c r="D353" s="16" t="s">
        <v>318</v>
      </c>
      <c r="E353" s="71">
        <f>ROUNDUP((E350+E351+E352),0)</f>
        <v>136473</v>
      </c>
      <c r="F353" s="72"/>
    </row>
    <row r="354" spans="1:6" ht="32.25" customHeight="1" thickTop="1" thickBot="1" x14ac:dyDescent="0.3">
      <c r="A354" s="41"/>
      <c r="B354" s="42"/>
      <c r="C354" s="43"/>
      <c r="D354" s="29" t="s">
        <v>317</v>
      </c>
      <c r="E354" s="66">
        <f>E353*1.13</f>
        <v>154214.49</v>
      </c>
      <c r="F354" s="67"/>
    </row>
    <row r="355" spans="1:6" ht="15.75" thickTop="1" x14ac:dyDescent="0.25">
      <c r="F355" s="34"/>
    </row>
  </sheetData>
  <mergeCells count="60">
    <mergeCell ref="E354:F354"/>
    <mergeCell ref="A322:F322"/>
    <mergeCell ref="A327:F327"/>
    <mergeCell ref="A333:F333"/>
    <mergeCell ref="A338:F338"/>
    <mergeCell ref="A340:F340"/>
    <mergeCell ref="E348:F348"/>
    <mergeCell ref="E349:F349"/>
    <mergeCell ref="E350:F350"/>
    <mergeCell ref="E351:F351"/>
    <mergeCell ref="E352:F352"/>
    <mergeCell ref="E353:F353"/>
    <mergeCell ref="A318:F318"/>
    <mergeCell ref="A243:F243"/>
    <mergeCell ref="A244:F244"/>
    <mergeCell ref="A252:F252"/>
    <mergeCell ref="A261:F261"/>
    <mergeCell ref="A270:F270"/>
    <mergeCell ref="A278:F278"/>
    <mergeCell ref="A279:F279"/>
    <mergeCell ref="A287:F287"/>
    <mergeCell ref="A293:F293"/>
    <mergeCell ref="A303:F303"/>
    <mergeCell ref="A313:F313"/>
    <mergeCell ref="A238:F238"/>
    <mergeCell ref="A185:F185"/>
    <mergeCell ref="A190:F190"/>
    <mergeCell ref="A194:F194"/>
    <mergeCell ref="A200:F200"/>
    <mergeCell ref="A205:F205"/>
    <mergeCell ref="A206:F206"/>
    <mergeCell ref="A212:F212"/>
    <mergeCell ref="A217:F217"/>
    <mergeCell ref="A224:F224"/>
    <mergeCell ref="A231:F231"/>
    <mergeCell ref="A232:F232"/>
    <mergeCell ref="A179:F179"/>
    <mergeCell ref="A82:F82"/>
    <mergeCell ref="A109:F109"/>
    <mergeCell ref="A114:F114"/>
    <mergeCell ref="A122:F122"/>
    <mergeCell ref="A132:F132"/>
    <mergeCell ref="A134:F134"/>
    <mergeCell ref="A141:F141"/>
    <mergeCell ref="A142:F142"/>
    <mergeCell ref="A150:F150"/>
    <mergeCell ref="A159:F159"/>
    <mergeCell ref="A169:F169"/>
    <mergeCell ref="A81:F81"/>
    <mergeCell ref="A2:F2"/>
    <mergeCell ref="A11:F11"/>
    <mergeCell ref="A24:F24"/>
    <mergeCell ref="A26:F26"/>
    <mergeCell ref="A27:F27"/>
    <mergeCell ref="A41:F41"/>
    <mergeCell ref="A51:F51"/>
    <mergeCell ref="A56:F56"/>
    <mergeCell ref="A62:F62"/>
    <mergeCell ref="A68:F68"/>
    <mergeCell ref="A74:F74"/>
  </mergeCells>
  <pageMargins left="0.7" right="0.7" top="0.75" bottom="0.75" header="0.3" footer="0.3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41C7-463A-4B5E-951E-4EC8E80DCAC9}">
  <dimension ref="A1:H355"/>
  <sheetViews>
    <sheetView topLeftCell="A310" zoomScale="69" zoomScaleNormal="60" workbookViewId="0">
      <selection activeCell="G332" sqref="G332"/>
    </sheetView>
  </sheetViews>
  <sheetFormatPr defaultColWidth="38.7109375" defaultRowHeight="15" x14ac:dyDescent="0.25"/>
  <cols>
    <col min="1" max="1" width="69.140625" customWidth="1"/>
    <col min="2" max="2" width="14.5703125" customWidth="1"/>
    <col min="3" max="3" width="19.85546875" customWidth="1"/>
    <col min="4" max="4" width="16.85546875" customWidth="1"/>
    <col min="5" max="5" width="18.5703125" style="33" customWidth="1"/>
    <col min="6" max="6" width="24.85546875" bestFit="1" customWidth="1"/>
    <col min="7" max="7" width="79.7109375" customWidth="1"/>
  </cols>
  <sheetData>
    <row r="1" spans="1:7" ht="22.5" thickTop="1" thickBot="1" x14ac:dyDescent="0.3">
      <c r="A1" s="5" t="s">
        <v>0</v>
      </c>
      <c r="B1" s="5" t="s">
        <v>183</v>
      </c>
      <c r="C1" s="5" t="s">
        <v>188</v>
      </c>
      <c r="D1" s="5" t="s">
        <v>2</v>
      </c>
      <c r="E1" s="5" t="s">
        <v>1</v>
      </c>
      <c r="F1" s="9" t="s">
        <v>3</v>
      </c>
    </row>
    <row r="2" spans="1:7" ht="24.75" thickTop="1" thickBot="1" x14ac:dyDescent="0.3">
      <c r="A2" s="46" t="s">
        <v>42</v>
      </c>
      <c r="B2" s="47"/>
      <c r="C2" s="47"/>
      <c r="D2" s="47"/>
      <c r="E2" s="47"/>
      <c r="F2" s="48"/>
    </row>
    <row r="3" spans="1:7" ht="20.25" thickTop="1" thickBot="1" x14ac:dyDescent="0.3">
      <c r="A3" s="6" t="s">
        <v>322</v>
      </c>
      <c r="B3" s="6"/>
      <c r="C3" s="6" t="s">
        <v>191</v>
      </c>
      <c r="D3" s="11">
        <v>6000</v>
      </c>
      <c r="E3" s="14">
        <v>0</v>
      </c>
      <c r="F3" s="12">
        <f t="shared" ref="F3:F19" si="0">ROUNDUP(E3*D3,0)</f>
        <v>0</v>
      </c>
    </row>
    <row r="4" spans="1:7" ht="20.25" thickTop="1" thickBot="1" x14ac:dyDescent="0.3">
      <c r="A4" s="6" t="s">
        <v>322</v>
      </c>
      <c r="B4" s="6"/>
      <c r="C4" s="6" t="s">
        <v>191</v>
      </c>
      <c r="D4" s="11">
        <v>6650</v>
      </c>
      <c r="E4" s="14"/>
      <c r="F4" s="12">
        <f t="shared" si="0"/>
        <v>0</v>
      </c>
    </row>
    <row r="5" spans="1:7" ht="20.25" thickTop="1" thickBot="1" x14ac:dyDescent="0.3">
      <c r="A5" s="6" t="s">
        <v>321</v>
      </c>
      <c r="B5" s="6"/>
      <c r="C5" s="6" t="s">
        <v>191</v>
      </c>
      <c r="D5" s="11">
        <v>8050</v>
      </c>
      <c r="E5" s="14">
        <v>0</v>
      </c>
      <c r="F5" s="12">
        <f t="shared" si="0"/>
        <v>0</v>
      </c>
    </row>
    <row r="6" spans="1:7" ht="20.25" thickTop="1" thickBot="1" x14ac:dyDescent="0.3">
      <c r="A6" s="6" t="s">
        <v>43</v>
      </c>
      <c r="B6" s="6" t="s">
        <v>315</v>
      </c>
      <c r="C6" s="6" t="s">
        <v>189</v>
      </c>
      <c r="D6" s="11">
        <v>5650</v>
      </c>
      <c r="E6" s="14"/>
      <c r="F6" s="12">
        <f t="shared" si="0"/>
        <v>0</v>
      </c>
    </row>
    <row r="7" spans="1:7" ht="20.25" thickTop="1" thickBot="1" x14ac:dyDescent="0.3">
      <c r="A7" s="6" t="s">
        <v>43</v>
      </c>
      <c r="B7" s="6" t="s">
        <v>314</v>
      </c>
      <c r="C7" s="6" t="s">
        <v>189</v>
      </c>
      <c r="D7" s="11">
        <v>6400</v>
      </c>
      <c r="E7" s="14">
        <v>1</v>
      </c>
      <c r="F7" s="12">
        <f t="shared" si="0"/>
        <v>6400</v>
      </c>
    </row>
    <row r="8" spans="1:7" ht="20.25" thickTop="1" thickBot="1" x14ac:dyDescent="0.3">
      <c r="A8" s="6" t="s">
        <v>323</v>
      </c>
      <c r="B8" s="6" t="s">
        <v>315</v>
      </c>
      <c r="C8" s="6" t="s">
        <v>190</v>
      </c>
      <c r="D8" s="11">
        <v>5100</v>
      </c>
      <c r="E8" s="14"/>
      <c r="F8" s="12">
        <f t="shared" si="0"/>
        <v>0</v>
      </c>
    </row>
    <row r="9" spans="1:7" ht="20.25" thickTop="1" thickBot="1" x14ac:dyDescent="0.3">
      <c r="A9" s="6" t="s">
        <v>323</v>
      </c>
      <c r="B9" s="6" t="s">
        <v>314</v>
      </c>
      <c r="C9" s="6" t="s">
        <v>190</v>
      </c>
      <c r="D9" s="11">
        <v>5600</v>
      </c>
      <c r="E9" s="14">
        <v>2</v>
      </c>
      <c r="F9" s="12">
        <f t="shared" si="0"/>
        <v>11200</v>
      </c>
    </row>
    <row r="10" spans="1:7" ht="20.25" thickTop="1" thickBot="1" x14ac:dyDescent="0.3">
      <c r="A10" s="6" t="s">
        <v>324</v>
      </c>
      <c r="B10" s="6" t="s">
        <v>382</v>
      </c>
      <c r="C10" s="6" t="s">
        <v>191</v>
      </c>
      <c r="D10" s="11">
        <v>3600</v>
      </c>
      <c r="E10" s="14"/>
      <c r="F10" s="12">
        <f t="shared" si="0"/>
        <v>0</v>
      </c>
    </row>
    <row r="11" spans="1:7" ht="22.5" thickTop="1" thickBot="1" x14ac:dyDescent="0.3">
      <c r="A11" s="49" t="s">
        <v>127</v>
      </c>
      <c r="B11" s="50"/>
      <c r="C11" s="50"/>
      <c r="D11" s="50"/>
      <c r="E11" s="50"/>
      <c r="F11" s="50"/>
    </row>
    <row r="12" spans="1:7" ht="20.25" thickTop="1" thickBot="1" x14ac:dyDescent="0.3">
      <c r="A12" s="6" t="s">
        <v>141</v>
      </c>
      <c r="B12" s="6"/>
      <c r="C12" s="6" t="s">
        <v>191</v>
      </c>
      <c r="D12" s="11">
        <v>17.5</v>
      </c>
      <c r="E12" s="14"/>
      <c r="F12" s="12">
        <f t="shared" si="0"/>
        <v>0</v>
      </c>
    </row>
    <row r="13" spans="1:7" ht="20.25" thickTop="1" thickBot="1" x14ac:dyDescent="0.3">
      <c r="A13" s="6" t="s">
        <v>128</v>
      </c>
      <c r="B13" s="6"/>
      <c r="C13" s="6" t="s">
        <v>191</v>
      </c>
      <c r="D13" s="11">
        <v>34</v>
      </c>
      <c r="E13" s="14">
        <v>75</v>
      </c>
      <c r="F13" s="12">
        <f t="shared" si="0"/>
        <v>2550</v>
      </c>
    </row>
    <row r="14" spans="1:7" ht="20.25" thickTop="1" thickBot="1" x14ac:dyDescent="0.3">
      <c r="A14" s="6" t="s">
        <v>129</v>
      </c>
      <c r="B14" s="6"/>
      <c r="C14" s="6" t="s">
        <v>191</v>
      </c>
      <c r="D14" s="11">
        <v>60</v>
      </c>
      <c r="E14" s="14">
        <v>50</v>
      </c>
      <c r="F14" s="12">
        <f t="shared" si="0"/>
        <v>3000</v>
      </c>
    </row>
    <row r="15" spans="1:7" ht="20.25" thickTop="1" thickBot="1" x14ac:dyDescent="0.3">
      <c r="A15" s="6" t="s">
        <v>130</v>
      </c>
      <c r="B15" s="6"/>
      <c r="C15" s="6" t="s">
        <v>191</v>
      </c>
      <c r="D15" s="11">
        <v>129.5</v>
      </c>
      <c r="E15" s="14"/>
      <c r="F15" s="12">
        <f t="shared" si="0"/>
        <v>0</v>
      </c>
    </row>
    <row r="16" spans="1:7" ht="20.25" thickTop="1" thickBot="1" x14ac:dyDescent="0.3">
      <c r="A16" s="6" t="s">
        <v>180</v>
      </c>
      <c r="B16" s="6"/>
      <c r="C16" s="6" t="s">
        <v>189</v>
      </c>
      <c r="D16" s="11">
        <v>18</v>
      </c>
      <c r="E16" s="14"/>
      <c r="F16" s="12">
        <f t="shared" si="0"/>
        <v>0</v>
      </c>
      <c r="G16" s="27"/>
    </row>
    <row r="17" spans="1:7" ht="20.25" thickTop="1" thickBot="1" x14ac:dyDescent="0.3">
      <c r="A17" s="6" t="s">
        <v>131</v>
      </c>
      <c r="B17" s="6"/>
      <c r="C17" s="6" t="s">
        <v>189</v>
      </c>
      <c r="D17" s="11">
        <v>32</v>
      </c>
      <c r="E17" s="14">
        <v>30</v>
      </c>
      <c r="F17" s="12">
        <f t="shared" si="0"/>
        <v>960</v>
      </c>
      <c r="G17" s="27"/>
    </row>
    <row r="18" spans="1:7" ht="20.25" thickTop="1" thickBot="1" x14ac:dyDescent="0.3">
      <c r="A18" s="6" t="s">
        <v>132</v>
      </c>
      <c r="B18" s="6"/>
      <c r="C18" s="6" t="s">
        <v>189</v>
      </c>
      <c r="D18" s="11">
        <v>56.5</v>
      </c>
      <c r="E18" s="14"/>
      <c r="F18" s="12">
        <f t="shared" si="0"/>
        <v>0</v>
      </c>
      <c r="G18" s="27"/>
    </row>
    <row r="19" spans="1:7" ht="20.25" thickTop="1" thickBot="1" x14ac:dyDescent="0.3">
      <c r="A19" s="6" t="s">
        <v>319</v>
      </c>
      <c r="B19" s="6"/>
      <c r="C19" s="6" t="s">
        <v>189</v>
      </c>
      <c r="D19" s="11">
        <v>80</v>
      </c>
      <c r="E19" s="14"/>
      <c r="F19" s="12">
        <f t="shared" si="0"/>
        <v>0</v>
      </c>
      <c r="G19" s="27"/>
    </row>
    <row r="20" spans="1:7" ht="20.25" thickTop="1" thickBot="1" x14ac:dyDescent="0.3">
      <c r="A20" s="6" t="s">
        <v>184</v>
      </c>
      <c r="B20" s="6"/>
      <c r="C20" s="6" t="s">
        <v>190</v>
      </c>
      <c r="D20" s="11"/>
      <c r="E20" s="14"/>
      <c r="F20" s="13"/>
      <c r="G20" s="27"/>
    </row>
    <row r="21" spans="1:7" ht="20.25" thickTop="1" thickBot="1" x14ac:dyDescent="0.3">
      <c r="A21" s="6" t="s">
        <v>185</v>
      </c>
      <c r="B21" s="6"/>
      <c r="C21" s="6" t="s">
        <v>190</v>
      </c>
      <c r="D21" s="11"/>
      <c r="E21" s="14"/>
      <c r="F21" s="13"/>
      <c r="G21" s="27"/>
    </row>
    <row r="22" spans="1:7" ht="20.25" thickTop="1" thickBot="1" x14ac:dyDescent="0.3">
      <c r="A22" s="6" t="s">
        <v>186</v>
      </c>
      <c r="B22" s="6"/>
      <c r="C22" s="6" t="s">
        <v>190</v>
      </c>
      <c r="D22" s="11"/>
      <c r="E22" s="14"/>
      <c r="F22" s="13"/>
      <c r="G22" s="27"/>
    </row>
    <row r="23" spans="1:7" ht="20.25" thickTop="1" thickBot="1" x14ac:dyDescent="0.3">
      <c r="A23" s="6" t="s">
        <v>187</v>
      </c>
      <c r="B23" s="6"/>
      <c r="C23" s="6" t="s">
        <v>190</v>
      </c>
      <c r="D23" s="11"/>
      <c r="E23" s="14"/>
      <c r="F23" s="13"/>
      <c r="G23" s="27"/>
    </row>
    <row r="24" spans="1:7" ht="24.75" thickTop="1" thickBot="1" x14ac:dyDescent="0.3">
      <c r="A24" s="46" t="s">
        <v>181</v>
      </c>
      <c r="B24" s="47"/>
      <c r="C24" s="47"/>
      <c r="D24" s="47"/>
      <c r="E24" s="47"/>
      <c r="F24" s="48"/>
    </row>
    <row r="25" spans="1:7" ht="20.25" thickTop="1" thickBot="1" x14ac:dyDescent="0.3">
      <c r="A25" s="6" t="s">
        <v>182</v>
      </c>
      <c r="B25" s="6"/>
      <c r="C25" s="6"/>
      <c r="D25" s="11">
        <v>1380</v>
      </c>
      <c r="E25" s="28">
        <v>1</v>
      </c>
      <c r="F25" s="12">
        <f>D25*E25</f>
        <v>1380</v>
      </c>
    </row>
    <row r="26" spans="1:7" ht="24.75" thickTop="1" thickBot="1" x14ac:dyDescent="0.3">
      <c r="A26" s="46" t="s">
        <v>44</v>
      </c>
      <c r="B26" s="47"/>
      <c r="C26" s="47"/>
      <c r="D26" s="47"/>
      <c r="E26" s="47"/>
      <c r="F26" s="48"/>
    </row>
    <row r="27" spans="1:7" ht="22.5" thickTop="1" thickBot="1" x14ac:dyDescent="0.3">
      <c r="A27" s="49" t="s">
        <v>227</v>
      </c>
      <c r="B27" s="50"/>
      <c r="C27" s="50"/>
      <c r="D27" s="50"/>
      <c r="E27" s="50"/>
      <c r="F27" s="50"/>
    </row>
    <row r="28" spans="1:7" ht="20.25" thickTop="1" thickBot="1" x14ac:dyDescent="0.3">
      <c r="A28" s="6" t="s">
        <v>77</v>
      </c>
      <c r="B28" s="6"/>
      <c r="C28" s="6" t="s">
        <v>189</v>
      </c>
      <c r="D28" s="11">
        <v>6800</v>
      </c>
      <c r="E28" s="14">
        <v>0</v>
      </c>
      <c r="F28" s="12">
        <f>ROUNDUP(E28*D28,0)</f>
        <v>0</v>
      </c>
    </row>
    <row r="29" spans="1:7" ht="20.25" thickTop="1" thickBot="1" x14ac:dyDescent="0.3">
      <c r="A29" s="6" t="s">
        <v>228</v>
      </c>
      <c r="B29" s="6"/>
      <c r="C29" s="6" t="s">
        <v>189</v>
      </c>
      <c r="D29" s="11">
        <v>6000</v>
      </c>
      <c r="E29" s="14">
        <v>0</v>
      </c>
      <c r="F29" s="12">
        <f t="shared" ref="F29:F131" si="1">ROUNDUP(E29*D29,0)</f>
        <v>0</v>
      </c>
    </row>
    <row r="30" spans="1:7" ht="20.25" thickTop="1" thickBot="1" x14ac:dyDescent="0.3">
      <c r="A30" s="6" t="s">
        <v>108</v>
      </c>
      <c r="B30" s="6"/>
      <c r="C30" s="6" t="s">
        <v>189</v>
      </c>
      <c r="D30" s="11">
        <v>9700</v>
      </c>
      <c r="E30" s="14">
        <v>0</v>
      </c>
      <c r="F30" s="12">
        <f t="shared" si="1"/>
        <v>0</v>
      </c>
    </row>
    <row r="31" spans="1:7" ht="20.25" thickTop="1" thickBot="1" x14ac:dyDescent="0.3">
      <c r="A31" s="6" t="s">
        <v>229</v>
      </c>
      <c r="B31" s="6"/>
      <c r="C31" s="6" t="s">
        <v>191</v>
      </c>
      <c r="D31" s="11">
        <v>13901</v>
      </c>
      <c r="E31" s="14"/>
      <c r="F31" s="12">
        <f t="shared" si="1"/>
        <v>0</v>
      </c>
    </row>
    <row r="32" spans="1:7" ht="20.25" thickTop="1" thickBot="1" x14ac:dyDescent="0.3">
      <c r="A32" s="6" t="s">
        <v>230</v>
      </c>
      <c r="B32" s="6"/>
      <c r="C32" s="6" t="s">
        <v>191</v>
      </c>
      <c r="D32" s="11">
        <v>9800</v>
      </c>
      <c r="E32" s="14"/>
      <c r="F32" s="12">
        <f t="shared" si="1"/>
        <v>0</v>
      </c>
    </row>
    <row r="33" spans="1:6" ht="20.25" thickTop="1" thickBot="1" x14ac:dyDescent="0.3">
      <c r="A33" s="6" t="s">
        <v>54</v>
      </c>
      <c r="B33" s="6"/>
      <c r="C33" s="6" t="s">
        <v>192</v>
      </c>
      <c r="D33" s="11">
        <v>10645</v>
      </c>
      <c r="E33" s="14"/>
      <c r="F33" s="12">
        <f t="shared" si="1"/>
        <v>0</v>
      </c>
    </row>
    <row r="34" spans="1:6" ht="20.25" thickTop="1" thickBot="1" x14ac:dyDescent="0.3">
      <c r="A34" s="6" t="s">
        <v>55</v>
      </c>
      <c r="B34" s="6"/>
      <c r="C34" s="6" t="s">
        <v>192</v>
      </c>
      <c r="D34" s="11">
        <v>13810</v>
      </c>
      <c r="E34" s="14"/>
      <c r="F34" s="12">
        <f t="shared" si="1"/>
        <v>0</v>
      </c>
    </row>
    <row r="35" spans="1:6" ht="20.25" thickTop="1" thickBot="1" x14ac:dyDescent="0.3">
      <c r="A35" s="6" t="s">
        <v>56</v>
      </c>
      <c r="B35" s="6"/>
      <c r="C35" s="6" t="s">
        <v>191</v>
      </c>
      <c r="D35" s="11">
        <v>24816</v>
      </c>
      <c r="E35" s="14"/>
      <c r="F35" s="12">
        <f t="shared" si="1"/>
        <v>0</v>
      </c>
    </row>
    <row r="36" spans="1:6" ht="20.25" thickTop="1" thickBot="1" x14ac:dyDescent="0.3">
      <c r="A36" s="6" t="s">
        <v>57</v>
      </c>
      <c r="B36" s="6"/>
      <c r="C36" s="6" t="s">
        <v>191</v>
      </c>
      <c r="D36" s="11">
        <v>11999</v>
      </c>
      <c r="E36" s="14"/>
      <c r="F36" s="12">
        <f t="shared" si="1"/>
        <v>0</v>
      </c>
    </row>
    <row r="37" spans="1:6" ht="20.25" thickTop="1" thickBot="1" x14ac:dyDescent="0.3">
      <c r="A37" s="6" t="s">
        <v>59</v>
      </c>
      <c r="B37" s="6"/>
      <c r="C37" s="6" t="s">
        <v>189</v>
      </c>
      <c r="D37" s="11">
        <v>12450</v>
      </c>
      <c r="E37" s="14">
        <v>0</v>
      </c>
      <c r="F37" s="12">
        <f t="shared" si="1"/>
        <v>0</v>
      </c>
    </row>
    <row r="38" spans="1:6" ht="20.25" thickTop="1" thickBot="1" x14ac:dyDescent="0.3">
      <c r="A38" s="6" t="s">
        <v>58</v>
      </c>
      <c r="B38" s="6"/>
      <c r="C38" s="6" t="s">
        <v>189</v>
      </c>
      <c r="D38" s="11">
        <v>17160</v>
      </c>
      <c r="E38" s="14"/>
      <c r="F38" s="12">
        <f t="shared" si="1"/>
        <v>0</v>
      </c>
    </row>
    <row r="39" spans="1:6" ht="20.25" thickTop="1" thickBot="1" x14ac:dyDescent="0.3">
      <c r="A39" s="6" t="s">
        <v>60</v>
      </c>
      <c r="B39" s="6"/>
      <c r="C39" s="6" t="s">
        <v>189</v>
      </c>
      <c r="D39" s="11">
        <v>10560</v>
      </c>
      <c r="E39" s="14"/>
      <c r="F39" s="12">
        <f t="shared" si="1"/>
        <v>0</v>
      </c>
    </row>
    <row r="40" spans="1:6" ht="20.25" thickTop="1" thickBot="1" x14ac:dyDescent="0.3">
      <c r="A40" s="6" t="s">
        <v>61</v>
      </c>
      <c r="B40" s="6"/>
      <c r="C40" s="6" t="s">
        <v>191</v>
      </c>
      <c r="D40" s="11">
        <v>26406</v>
      </c>
      <c r="E40" s="14"/>
      <c r="F40" s="12">
        <f t="shared" si="1"/>
        <v>0</v>
      </c>
    </row>
    <row r="41" spans="1:6" ht="22.5" thickTop="1" thickBot="1" x14ac:dyDescent="0.3">
      <c r="A41" s="49" t="s">
        <v>133</v>
      </c>
      <c r="B41" s="50"/>
      <c r="C41" s="50"/>
      <c r="D41" s="50"/>
      <c r="E41" s="50"/>
      <c r="F41" s="50"/>
    </row>
    <row r="42" spans="1:6" ht="20.25" thickTop="1" thickBot="1" x14ac:dyDescent="0.3">
      <c r="A42" s="6" t="s">
        <v>134</v>
      </c>
      <c r="B42" s="6"/>
      <c r="C42" s="6" t="s">
        <v>189</v>
      </c>
      <c r="D42" s="11">
        <v>45</v>
      </c>
      <c r="E42" s="14">
        <v>0</v>
      </c>
      <c r="F42" s="12">
        <f t="shared" ref="F42:F50" si="2">ROUNDUP(E42*D42,0)</f>
        <v>0</v>
      </c>
    </row>
    <row r="43" spans="1:6" ht="20.25" thickTop="1" thickBot="1" x14ac:dyDescent="0.3">
      <c r="A43" s="6" t="s">
        <v>135</v>
      </c>
      <c r="B43" s="6"/>
      <c r="C43" s="6" t="s">
        <v>192</v>
      </c>
      <c r="D43" s="11">
        <v>113</v>
      </c>
      <c r="E43" s="14"/>
      <c r="F43" s="12">
        <f t="shared" si="2"/>
        <v>0</v>
      </c>
    </row>
    <row r="44" spans="1:6" ht="20.25" thickTop="1" thickBot="1" x14ac:dyDescent="0.3">
      <c r="A44" s="6" t="s">
        <v>136</v>
      </c>
      <c r="B44" s="6"/>
      <c r="C44" s="6" t="s">
        <v>192</v>
      </c>
      <c r="D44" s="11">
        <v>113</v>
      </c>
      <c r="E44" s="14"/>
      <c r="F44" s="12">
        <f t="shared" si="2"/>
        <v>0</v>
      </c>
    </row>
    <row r="45" spans="1:6" ht="20.25" thickTop="1" thickBot="1" x14ac:dyDescent="0.3">
      <c r="A45" s="6" t="s">
        <v>164</v>
      </c>
      <c r="B45" s="6"/>
      <c r="C45" s="6" t="s">
        <v>191</v>
      </c>
      <c r="D45" s="11">
        <v>74.400000000000006</v>
      </c>
      <c r="E45" s="14">
        <v>0</v>
      </c>
      <c r="F45" s="12">
        <f t="shared" si="2"/>
        <v>0</v>
      </c>
    </row>
    <row r="46" spans="1:6" ht="20.25" thickTop="1" thickBot="1" x14ac:dyDescent="0.3">
      <c r="A46" s="6" t="s">
        <v>165</v>
      </c>
      <c r="B46" s="6"/>
      <c r="C46" s="6" t="s">
        <v>189</v>
      </c>
      <c r="D46" s="11">
        <v>85</v>
      </c>
      <c r="E46" s="14">
        <v>0</v>
      </c>
      <c r="F46" s="12">
        <f t="shared" si="2"/>
        <v>0</v>
      </c>
    </row>
    <row r="47" spans="1:6" ht="20.25" thickTop="1" thickBot="1" x14ac:dyDescent="0.3">
      <c r="A47" s="6" t="s">
        <v>166</v>
      </c>
      <c r="B47" s="6"/>
      <c r="C47" s="6" t="s">
        <v>189</v>
      </c>
      <c r="D47" s="11">
        <v>95.04</v>
      </c>
      <c r="E47" s="14"/>
      <c r="F47" s="12">
        <f t="shared" si="2"/>
        <v>0</v>
      </c>
    </row>
    <row r="48" spans="1:6" ht="20.25" thickTop="1" thickBot="1" x14ac:dyDescent="0.3">
      <c r="A48" s="6" t="s">
        <v>167</v>
      </c>
      <c r="B48" s="6"/>
      <c r="C48" s="6" t="s">
        <v>189</v>
      </c>
      <c r="D48" s="11">
        <v>87.62</v>
      </c>
      <c r="E48" s="14"/>
      <c r="F48" s="12">
        <f t="shared" si="2"/>
        <v>0</v>
      </c>
    </row>
    <row r="49" spans="1:8" ht="20.25" thickTop="1" thickBot="1" x14ac:dyDescent="0.3">
      <c r="A49" s="6" t="s">
        <v>168</v>
      </c>
      <c r="B49" s="6"/>
      <c r="C49" s="6" t="s">
        <v>191</v>
      </c>
      <c r="D49" s="11">
        <v>112.36</v>
      </c>
      <c r="E49" s="14"/>
      <c r="F49" s="12">
        <f t="shared" si="2"/>
        <v>0</v>
      </c>
    </row>
    <row r="50" spans="1:8" ht="20.25" thickTop="1" thickBot="1" x14ac:dyDescent="0.3">
      <c r="A50" s="6" t="s">
        <v>169</v>
      </c>
      <c r="B50" s="6"/>
      <c r="C50" s="6" t="s">
        <v>191</v>
      </c>
      <c r="D50" s="11">
        <v>144.76</v>
      </c>
      <c r="E50" s="14"/>
      <c r="F50" s="12">
        <f t="shared" si="2"/>
        <v>0</v>
      </c>
    </row>
    <row r="51" spans="1:8" s="31" customFormat="1" ht="22.5" thickTop="1" thickBot="1" x14ac:dyDescent="0.4">
      <c r="A51" s="51" t="s">
        <v>231</v>
      </c>
      <c r="B51" s="52"/>
      <c r="C51" s="52"/>
      <c r="D51" s="52"/>
      <c r="E51" s="52"/>
      <c r="F51" s="52"/>
    </row>
    <row r="52" spans="1:8" ht="20.25" thickTop="1" thickBot="1" x14ac:dyDescent="0.3">
      <c r="A52" s="6" t="s">
        <v>193</v>
      </c>
      <c r="B52" s="6"/>
      <c r="C52" s="6" t="s">
        <v>197</v>
      </c>
      <c r="D52" s="11">
        <v>5600</v>
      </c>
      <c r="E52" s="14"/>
      <c r="F52" s="12">
        <f t="shared" si="1"/>
        <v>0</v>
      </c>
    </row>
    <row r="53" spans="1:8" ht="20.25" thickTop="1" thickBot="1" x14ac:dyDescent="0.3">
      <c r="A53" s="6" t="s">
        <v>194</v>
      </c>
      <c r="B53" s="6"/>
      <c r="C53" s="6" t="s">
        <v>197</v>
      </c>
      <c r="D53" s="11">
        <v>6800</v>
      </c>
      <c r="E53" s="14"/>
      <c r="F53" s="12">
        <f t="shared" si="1"/>
        <v>0</v>
      </c>
    </row>
    <row r="54" spans="1:8" ht="20.25" thickTop="1" thickBot="1" x14ac:dyDescent="0.3">
      <c r="A54" s="6" t="s">
        <v>195</v>
      </c>
      <c r="B54" s="6"/>
      <c r="C54" s="6" t="s">
        <v>197</v>
      </c>
      <c r="D54" s="11">
        <v>8030</v>
      </c>
      <c r="E54" s="14"/>
      <c r="F54" s="12">
        <f t="shared" si="1"/>
        <v>0</v>
      </c>
    </row>
    <row r="55" spans="1:8" ht="20.25" thickTop="1" thickBot="1" x14ac:dyDescent="0.3">
      <c r="A55" s="6" t="s">
        <v>196</v>
      </c>
      <c r="B55" s="6"/>
      <c r="C55" s="6" t="s">
        <v>197</v>
      </c>
      <c r="D55" s="11">
        <v>11330</v>
      </c>
      <c r="E55" s="14"/>
      <c r="F55" s="12">
        <f t="shared" si="1"/>
        <v>0</v>
      </c>
      <c r="H55" t="s">
        <v>4</v>
      </c>
    </row>
    <row r="56" spans="1:8" ht="20.25" thickTop="1" thickBot="1" x14ac:dyDescent="0.3">
      <c r="A56" s="53"/>
      <c r="B56" s="54"/>
      <c r="C56" s="54"/>
      <c r="D56" s="54"/>
      <c r="E56" s="54"/>
      <c r="F56" s="54"/>
    </row>
    <row r="57" spans="1:8" ht="20.25" thickTop="1" thickBot="1" x14ac:dyDescent="0.3">
      <c r="A57" s="6" t="s">
        <v>203</v>
      </c>
      <c r="B57" s="6"/>
      <c r="C57" s="6" t="s">
        <v>197</v>
      </c>
      <c r="D57" s="11">
        <v>3900</v>
      </c>
      <c r="E57" s="14"/>
      <c r="F57" s="12">
        <f t="shared" si="1"/>
        <v>0</v>
      </c>
    </row>
    <row r="58" spans="1:8" ht="20.25" thickTop="1" thickBot="1" x14ac:dyDescent="0.3">
      <c r="A58" s="6" t="s">
        <v>204</v>
      </c>
      <c r="B58" s="6"/>
      <c r="C58" s="6" t="s">
        <v>197</v>
      </c>
      <c r="D58" s="11">
        <v>4500</v>
      </c>
      <c r="E58" s="14"/>
      <c r="F58" s="12">
        <f t="shared" si="1"/>
        <v>0</v>
      </c>
    </row>
    <row r="59" spans="1:8" ht="20.25" thickTop="1" thickBot="1" x14ac:dyDescent="0.3">
      <c r="A59" s="6" t="s">
        <v>205</v>
      </c>
      <c r="B59" s="6"/>
      <c r="C59" s="6" t="s">
        <v>197</v>
      </c>
      <c r="D59" s="11">
        <v>5400</v>
      </c>
      <c r="E59" s="14"/>
      <c r="F59" s="12">
        <f t="shared" si="1"/>
        <v>0</v>
      </c>
    </row>
    <row r="60" spans="1:8" ht="20.25" thickTop="1" thickBot="1" x14ac:dyDescent="0.3">
      <c r="A60" s="6" t="s">
        <v>206</v>
      </c>
      <c r="B60" s="6"/>
      <c r="C60" s="6" t="s">
        <v>197</v>
      </c>
      <c r="D60" s="11">
        <v>6200</v>
      </c>
      <c r="E60" s="14"/>
      <c r="F60" s="12">
        <f t="shared" si="1"/>
        <v>0</v>
      </c>
    </row>
    <row r="61" spans="1:8" ht="20.25" thickTop="1" thickBot="1" x14ac:dyDescent="0.3">
      <c r="A61" s="6" t="s">
        <v>207</v>
      </c>
      <c r="B61" s="6"/>
      <c r="C61" s="6" t="s">
        <v>197</v>
      </c>
      <c r="D61" s="11">
        <v>6650</v>
      </c>
      <c r="E61" s="14"/>
      <c r="F61" s="12">
        <f t="shared" si="1"/>
        <v>0</v>
      </c>
    </row>
    <row r="62" spans="1:8" ht="20.25" thickTop="1" thickBot="1" x14ac:dyDescent="0.3">
      <c r="A62" s="53"/>
      <c r="B62" s="54"/>
      <c r="C62" s="54"/>
      <c r="D62" s="54"/>
      <c r="E62" s="54"/>
      <c r="F62" s="54"/>
    </row>
    <row r="63" spans="1:8" ht="20.25" thickTop="1" thickBot="1" x14ac:dyDescent="0.3">
      <c r="A63" s="6" t="s">
        <v>198</v>
      </c>
      <c r="B63" s="6"/>
      <c r="C63" s="6" t="s">
        <v>197</v>
      </c>
      <c r="D63" s="11">
        <v>4650</v>
      </c>
      <c r="E63" s="14"/>
      <c r="F63" s="12">
        <f t="shared" si="1"/>
        <v>0</v>
      </c>
    </row>
    <row r="64" spans="1:8" ht="20.25" thickTop="1" thickBot="1" x14ac:dyDescent="0.3">
      <c r="A64" s="6" t="s">
        <v>199</v>
      </c>
      <c r="B64" s="6"/>
      <c r="C64" s="6" t="s">
        <v>197</v>
      </c>
      <c r="D64" s="11">
        <v>5250</v>
      </c>
      <c r="E64" s="14"/>
      <c r="F64" s="12">
        <f t="shared" si="1"/>
        <v>0</v>
      </c>
    </row>
    <row r="65" spans="1:6" ht="20.25" thickTop="1" thickBot="1" x14ac:dyDescent="0.3">
      <c r="A65" s="6" t="s">
        <v>200</v>
      </c>
      <c r="B65" s="6"/>
      <c r="C65" s="6" t="s">
        <v>197</v>
      </c>
      <c r="D65" s="11">
        <v>5900</v>
      </c>
      <c r="E65" s="14"/>
      <c r="F65" s="12">
        <f t="shared" si="1"/>
        <v>0</v>
      </c>
    </row>
    <row r="66" spans="1:6" ht="20.25" thickTop="1" thickBot="1" x14ac:dyDescent="0.3">
      <c r="A66" s="6" t="s">
        <v>201</v>
      </c>
      <c r="B66" s="6"/>
      <c r="C66" s="6" t="s">
        <v>197</v>
      </c>
      <c r="D66" s="11">
        <v>6750</v>
      </c>
      <c r="E66" s="14"/>
      <c r="F66" s="12">
        <f t="shared" si="1"/>
        <v>0</v>
      </c>
    </row>
    <row r="67" spans="1:6" ht="20.25" thickTop="1" thickBot="1" x14ac:dyDescent="0.3">
      <c r="A67" s="6" t="s">
        <v>202</v>
      </c>
      <c r="B67" s="6"/>
      <c r="C67" s="6" t="s">
        <v>197</v>
      </c>
      <c r="D67" s="11">
        <v>7200</v>
      </c>
      <c r="E67" s="14"/>
      <c r="F67" s="12">
        <f t="shared" si="1"/>
        <v>0</v>
      </c>
    </row>
    <row r="68" spans="1:6" ht="20.25" thickTop="1" thickBot="1" x14ac:dyDescent="0.3">
      <c r="A68" s="53"/>
      <c r="B68" s="54"/>
      <c r="C68" s="54"/>
      <c r="D68" s="54"/>
      <c r="E68" s="54"/>
      <c r="F68" s="54"/>
    </row>
    <row r="69" spans="1:6" ht="20.25" thickTop="1" thickBot="1" x14ac:dyDescent="0.3">
      <c r="A69" s="6" t="s">
        <v>208</v>
      </c>
      <c r="B69" s="6"/>
      <c r="C69" s="6" t="s">
        <v>197</v>
      </c>
      <c r="D69" s="11">
        <v>6200</v>
      </c>
      <c r="E69" s="14"/>
      <c r="F69" s="12">
        <f t="shared" si="1"/>
        <v>0</v>
      </c>
    </row>
    <row r="70" spans="1:6" ht="20.25" thickTop="1" thickBot="1" x14ac:dyDescent="0.3">
      <c r="A70" s="6" t="s">
        <v>209</v>
      </c>
      <c r="B70" s="6"/>
      <c r="C70" s="6" t="s">
        <v>197</v>
      </c>
      <c r="D70" s="11">
        <v>6850</v>
      </c>
      <c r="E70" s="14"/>
      <c r="F70" s="12">
        <f t="shared" si="1"/>
        <v>0</v>
      </c>
    </row>
    <row r="71" spans="1:6" ht="20.25" thickTop="1" thickBot="1" x14ac:dyDescent="0.3">
      <c r="A71" s="6" t="s">
        <v>210</v>
      </c>
      <c r="B71" s="6"/>
      <c r="C71" s="6" t="s">
        <v>197</v>
      </c>
      <c r="D71" s="11">
        <v>7500</v>
      </c>
      <c r="E71" s="14"/>
      <c r="F71" s="12">
        <f t="shared" si="1"/>
        <v>0</v>
      </c>
    </row>
    <row r="72" spans="1:6" ht="20.25" thickTop="1" thickBot="1" x14ac:dyDescent="0.3">
      <c r="A72" s="6" t="s">
        <v>211</v>
      </c>
      <c r="B72" s="6"/>
      <c r="C72" s="6" t="s">
        <v>197</v>
      </c>
      <c r="D72" s="11">
        <v>8300</v>
      </c>
      <c r="E72" s="14"/>
      <c r="F72" s="12">
        <f t="shared" si="1"/>
        <v>0</v>
      </c>
    </row>
    <row r="73" spans="1:6" ht="20.25" thickTop="1" thickBot="1" x14ac:dyDescent="0.3">
      <c r="A73" s="6" t="s">
        <v>212</v>
      </c>
      <c r="B73" s="6"/>
      <c r="C73" s="6" t="s">
        <v>197</v>
      </c>
      <c r="D73" s="11">
        <v>8750</v>
      </c>
      <c r="E73" s="14"/>
      <c r="F73" s="12">
        <f t="shared" si="1"/>
        <v>0</v>
      </c>
    </row>
    <row r="74" spans="1:6" ht="20.25" thickTop="1" thickBot="1" x14ac:dyDescent="0.3">
      <c r="A74" s="53"/>
      <c r="B74" s="54"/>
      <c r="C74" s="54"/>
      <c r="D74" s="54"/>
      <c r="E74" s="54"/>
      <c r="F74" s="54"/>
    </row>
    <row r="75" spans="1:6" ht="20.25" thickTop="1" thickBot="1" x14ac:dyDescent="0.3">
      <c r="A75" s="6" t="s">
        <v>213</v>
      </c>
      <c r="B75" s="6"/>
      <c r="C75" s="6" t="s">
        <v>197</v>
      </c>
      <c r="D75" s="11">
        <v>7250</v>
      </c>
      <c r="E75" s="14"/>
      <c r="F75" s="12">
        <f t="shared" si="1"/>
        <v>0</v>
      </c>
    </row>
    <row r="76" spans="1:6" ht="20.25" thickTop="1" thickBot="1" x14ac:dyDescent="0.3">
      <c r="A76" s="6" t="s">
        <v>214</v>
      </c>
      <c r="B76" s="6"/>
      <c r="C76" s="6" t="s">
        <v>197</v>
      </c>
      <c r="D76" s="11">
        <v>7900</v>
      </c>
      <c r="E76" s="14"/>
      <c r="F76" s="12">
        <f t="shared" si="1"/>
        <v>0</v>
      </c>
    </row>
    <row r="77" spans="1:6" ht="20.25" thickTop="1" thickBot="1" x14ac:dyDescent="0.3">
      <c r="A77" s="6" t="s">
        <v>215</v>
      </c>
      <c r="B77" s="6"/>
      <c r="C77" s="6" t="s">
        <v>197</v>
      </c>
      <c r="D77" s="11">
        <v>8550</v>
      </c>
      <c r="E77" s="14"/>
      <c r="F77" s="12">
        <f t="shared" si="1"/>
        <v>0</v>
      </c>
    </row>
    <row r="78" spans="1:6" ht="20.25" thickTop="1" thickBot="1" x14ac:dyDescent="0.3">
      <c r="A78" s="6" t="s">
        <v>216</v>
      </c>
      <c r="B78" s="6"/>
      <c r="C78" s="6" t="s">
        <v>197</v>
      </c>
      <c r="D78" s="11">
        <v>9350</v>
      </c>
      <c r="E78" s="14"/>
      <c r="F78" s="12">
        <f t="shared" si="1"/>
        <v>0</v>
      </c>
    </row>
    <row r="79" spans="1:6" ht="20.25" thickTop="1" thickBot="1" x14ac:dyDescent="0.3">
      <c r="A79" s="6" t="s">
        <v>217</v>
      </c>
      <c r="B79" s="6"/>
      <c r="C79" s="6" t="s">
        <v>197</v>
      </c>
      <c r="D79" s="11">
        <v>9800</v>
      </c>
      <c r="E79" s="14"/>
      <c r="F79" s="12">
        <f t="shared" si="1"/>
        <v>0</v>
      </c>
    </row>
    <row r="80" spans="1:6" ht="20.25" thickTop="1" thickBot="1" x14ac:dyDescent="0.3">
      <c r="A80" s="6"/>
      <c r="B80" s="6"/>
      <c r="C80" s="6"/>
      <c r="D80" s="11"/>
      <c r="E80" s="14"/>
      <c r="F80" s="12"/>
    </row>
    <row r="81" spans="1:6" ht="20.25" thickTop="1" thickBot="1" x14ac:dyDescent="0.3">
      <c r="A81" s="44" t="s">
        <v>270</v>
      </c>
      <c r="B81" s="45"/>
      <c r="C81" s="45"/>
      <c r="D81" s="45"/>
      <c r="E81" s="45"/>
      <c r="F81" s="45"/>
    </row>
    <row r="82" spans="1:6" ht="20.25" customHeight="1" thickTop="1" thickBot="1" x14ac:dyDescent="0.3">
      <c r="A82" s="56" t="s">
        <v>293</v>
      </c>
      <c r="B82" s="57"/>
      <c r="C82" s="57"/>
      <c r="D82" s="57"/>
      <c r="E82" s="57"/>
      <c r="F82" s="57"/>
    </row>
    <row r="83" spans="1:6" ht="27.75" customHeight="1" thickTop="1" thickBot="1" x14ac:dyDescent="0.3">
      <c r="A83" s="6" t="s">
        <v>271</v>
      </c>
      <c r="B83" s="6"/>
      <c r="C83" s="6" t="s">
        <v>270</v>
      </c>
      <c r="D83" s="11">
        <v>4751</v>
      </c>
      <c r="E83" s="14"/>
      <c r="F83" s="12">
        <f t="shared" si="1"/>
        <v>0</v>
      </c>
    </row>
    <row r="84" spans="1:6" ht="41.25" customHeight="1" thickTop="1" thickBot="1" x14ac:dyDescent="0.3">
      <c r="A84" s="6" t="s">
        <v>272</v>
      </c>
      <c r="B84" s="6"/>
      <c r="C84" s="6" t="s">
        <v>270</v>
      </c>
      <c r="D84" s="11">
        <v>5250</v>
      </c>
      <c r="E84" s="14"/>
      <c r="F84" s="12">
        <f t="shared" si="1"/>
        <v>0</v>
      </c>
    </row>
    <row r="85" spans="1:6" ht="20.25" customHeight="1" thickTop="1" thickBot="1" x14ac:dyDescent="0.3">
      <c r="A85" s="6"/>
      <c r="B85" s="6"/>
      <c r="C85" s="6" t="s">
        <v>270</v>
      </c>
      <c r="D85" s="11"/>
      <c r="E85" s="14"/>
      <c r="F85" s="12">
        <f t="shared" si="1"/>
        <v>0</v>
      </c>
    </row>
    <row r="86" spans="1:6" ht="20.25" customHeight="1" thickTop="1" thickBot="1" x14ac:dyDescent="0.3">
      <c r="A86" s="6" t="s">
        <v>274</v>
      </c>
      <c r="B86" s="6"/>
      <c r="C86" s="6" t="s">
        <v>270</v>
      </c>
      <c r="D86" s="11">
        <v>5750</v>
      </c>
      <c r="E86" s="14"/>
      <c r="F86" s="12">
        <f t="shared" si="1"/>
        <v>0</v>
      </c>
    </row>
    <row r="87" spans="1:6" ht="20.25" customHeight="1" thickTop="1" thickBot="1" x14ac:dyDescent="0.3">
      <c r="A87" s="6" t="s">
        <v>273</v>
      </c>
      <c r="B87" s="6"/>
      <c r="C87" s="6" t="s">
        <v>270</v>
      </c>
      <c r="D87" s="11">
        <v>6250</v>
      </c>
      <c r="E87" s="14"/>
      <c r="F87" s="12">
        <f t="shared" si="1"/>
        <v>0</v>
      </c>
    </row>
    <row r="88" spans="1:6" ht="20.25" customHeight="1" thickTop="1" thickBot="1" x14ac:dyDescent="0.3">
      <c r="A88" s="6"/>
      <c r="B88" s="6"/>
      <c r="C88" s="6" t="s">
        <v>270</v>
      </c>
      <c r="D88" s="11"/>
      <c r="E88" s="14"/>
      <c r="F88" s="12">
        <f t="shared" si="1"/>
        <v>0</v>
      </c>
    </row>
    <row r="89" spans="1:6" ht="20.25" customHeight="1" thickTop="1" thickBot="1" x14ac:dyDescent="0.3">
      <c r="A89" s="6" t="s">
        <v>275</v>
      </c>
      <c r="B89" s="6"/>
      <c r="C89" s="6" t="s">
        <v>270</v>
      </c>
      <c r="D89" s="11">
        <v>6250</v>
      </c>
      <c r="E89" s="14"/>
      <c r="F89" s="12">
        <f t="shared" si="1"/>
        <v>0</v>
      </c>
    </row>
    <row r="90" spans="1:6" ht="20.25" customHeight="1" thickTop="1" thickBot="1" x14ac:dyDescent="0.3">
      <c r="A90" s="6" t="s">
        <v>276</v>
      </c>
      <c r="B90" s="6"/>
      <c r="C90" s="6" t="s">
        <v>270</v>
      </c>
      <c r="D90" s="11">
        <v>6750</v>
      </c>
      <c r="E90" s="14"/>
      <c r="F90" s="12">
        <f t="shared" si="1"/>
        <v>0</v>
      </c>
    </row>
    <row r="91" spans="1:6" ht="20.25" customHeight="1" thickTop="1" thickBot="1" x14ac:dyDescent="0.3">
      <c r="A91" s="6"/>
      <c r="B91" s="6"/>
      <c r="C91" s="6" t="s">
        <v>270</v>
      </c>
      <c r="D91" s="11"/>
      <c r="E91" s="14"/>
      <c r="F91" s="12">
        <f t="shared" si="1"/>
        <v>0</v>
      </c>
    </row>
    <row r="92" spans="1:6" ht="20.25" customHeight="1" thickTop="1" thickBot="1" x14ac:dyDescent="0.3">
      <c r="A92" s="6" t="s">
        <v>277</v>
      </c>
      <c r="B92" s="6"/>
      <c r="C92" s="6" t="s">
        <v>270</v>
      </c>
      <c r="D92" s="11">
        <v>5050</v>
      </c>
      <c r="E92" s="14"/>
      <c r="F92" s="12">
        <f t="shared" si="1"/>
        <v>0</v>
      </c>
    </row>
    <row r="93" spans="1:6" ht="20.25" customHeight="1" thickTop="1" thickBot="1" x14ac:dyDescent="0.3">
      <c r="A93" s="6" t="s">
        <v>278</v>
      </c>
      <c r="B93" s="6"/>
      <c r="C93" s="6" t="s">
        <v>270</v>
      </c>
      <c r="D93" s="11">
        <v>5550</v>
      </c>
      <c r="E93" s="14"/>
      <c r="F93" s="12">
        <f t="shared" si="1"/>
        <v>0</v>
      </c>
    </row>
    <row r="94" spans="1:6" ht="20.25" customHeight="1" thickTop="1" thickBot="1" x14ac:dyDescent="0.3">
      <c r="A94" s="6"/>
      <c r="B94" s="6"/>
      <c r="C94" s="6" t="s">
        <v>270</v>
      </c>
      <c r="D94" s="11"/>
      <c r="E94" s="14"/>
      <c r="F94" s="12">
        <f t="shared" si="1"/>
        <v>0</v>
      </c>
    </row>
    <row r="95" spans="1:6" ht="20.25" customHeight="1" thickTop="1" thickBot="1" x14ac:dyDescent="0.3">
      <c r="A95" s="6" t="s">
        <v>279</v>
      </c>
      <c r="B95" s="6"/>
      <c r="C95" s="6" t="s">
        <v>270</v>
      </c>
      <c r="D95" s="11">
        <v>6050</v>
      </c>
      <c r="E95" s="14"/>
      <c r="F95" s="12">
        <f t="shared" si="1"/>
        <v>0</v>
      </c>
    </row>
    <row r="96" spans="1:6" ht="20.25" customHeight="1" thickTop="1" thickBot="1" x14ac:dyDescent="0.3">
      <c r="A96" s="6" t="s">
        <v>280</v>
      </c>
      <c r="B96" s="6"/>
      <c r="C96" s="6" t="s">
        <v>270</v>
      </c>
      <c r="D96" s="11">
        <v>6550</v>
      </c>
      <c r="E96" s="14"/>
      <c r="F96" s="12">
        <f t="shared" si="1"/>
        <v>0</v>
      </c>
    </row>
    <row r="97" spans="1:6" ht="20.25" customHeight="1" thickTop="1" thickBot="1" x14ac:dyDescent="0.3">
      <c r="A97" s="6"/>
      <c r="B97" s="6"/>
      <c r="C97" s="6" t="s">
        <v>270</v>
      </c>
      <c r="D97" s="11"/>
      <c r="E97" s="14"/>
      <c r="F97" s="12">
        <f t="shared" si="1"/>
        <v>0</v>
      </c>
    </row>
    <row r="98" spans="1:6" ht="20.25" customHeight="1" thickTop="1" thickBot="1" x14ac:dyDescent="0.3">
      <c r="A98" s="6" t="s">
        <v>281</v>
      </c>
      <c r="B98" s="6"/>
      <c r="C98" s="6" t="s">
        <v>270</v>
      </c>
      <c r="D98" s="11">
        <v>6550</v>
      </c>
      <c r="E98" s="14"/>
      <c r="F98" s="12">
        <f t="shared" si="1"/>
        <v>0</v>
      </c>
    </row>
    <row r="99" spans="1:6" ht="20.25" customHeight="1" thickTop="1" thickBot="1" x14ac:dyDescent="0.3">
      <c r="A99" s="6" t="s">
        <v>282</v>
      </c>
      <c r="B99" s="6"/>
      <c r="C99" s="6" t="s">
        <v>270</v>
      </c>
      <c r="D99" s="11">
        <v>7050</v>
      </c>
      <c r="E99" s="14"/>
      <c r="F99" s="12">
        <f t="shared" si="1"/>
        <v>0</v>
      </c>
    </row>
    <row r="100" spans="1:6" ht="20.25" customHeight="1" thickTop="1" thickBot="1" x14ac:dyDescent="0.3">
      <c r="A100" s="6"/>
      <c r="B100" s="6"/>
      <c r="C100" s="6" t="s">
        <v>270</v>
      </c>
      <c r="D100" s="11"/>
      <c r="E100" s="14"/>
      <c r="F100" s="12">
        <f t="shared" si="1"/>
        <v>0</v>
      </c>
    </row>
    <row r="101" spans="1:6" ht="48.75" customHeight="1" thickTop="1" thickBot="1" x14ac:dyDescent="0.3">
      <c r="A101" s="6" t="s">
        <v>283</v>
      </c>
      <c r="B101" s="6"/>
      <c r="C101" s="6" t="s">
        <v>270</v>
      </c>
      <c r="D101" s="11">
        <v>7050</v>
      </c>
      <c r="E101" s="14"/>
      <c r="F101" s="12">
        <f t="shared" si="1"/>
        <v>0</v>
      </c>
    </row>
    <row r="102" spans="1:6" ht="41.25" customHeight="1" thickTop="1" thickBot="1" x14ac:dyDescent="0.3">
      <c r="A102" s="6" t="s">
        <v>284</v>
      </c>
      <c r="B102" s="6"/>
      <c r="C102" s="6" t="s">
        <v>270</v>
      </c>
      <c r="D102" s="11">
        <v>7550</v>
      </c>
      <c r="E102" s="14"/>
      <c r="F102" s="12">
        <f t="shared" si="1"/>
        <v>0</v>
      </c>
    </row>
    <row r="103" spans="1:6" ht="20.25" customHeight="1" thickTop="1" thickBot="1" x14ac:dyDescent="0.3">
      <c r="A103" s="6"/>
      <c r="B103" s="6"/>
      <c r="C103" s="6" t="s">
        <v>270</v>
      </c>
      <c r="D103" s="11"/>
      <c r="E103" s="14"/>
      <c r="F103" s="12">
        <f t="shared" si="1"/>
        <v>0</v>
      </c>
    </row>
    <row r="104" spans="1:6" ht="20.25" customHeight="1" thickTop="1" thickBot="1" x14ac:dyDescent="0.3">
      <c r="A104" s="6" t="s">
        <v>285</v>
      </c>
      <c r="B104" s="6"/>
      <c r="C104" s="6" t="s">
        <v>270</v>
      </c>
      <c r="D104" s="11">
        <v>5450</v>
      </c>
      <c r="E104" s="14"/>
      <c r="F104" s="12">
        <f t="shared" si="1"/>
        <v>0</v>
      </c>
    </row>
    <row r="105" spans="1:6" ht="42" customHeight="1" thickTop="1" thickBot="1" x14ac:dyDescent="0.3">
      <c r="A105" s="6" t="s">
        <v>286</v>
      </c>
      <c r="B105" s="6"/>
      <c r="C105" s="6" t="s">
        <v>270</v>
      </c>
      <c r="D105" s="11">
        <v>5950</v>
      </c>
      <c r="E105" s="14"/>
      <c r="F105" s="12">
        <f t="shared" si="1"/>
        <v>0</v>
      </c>
    </row>
    <row r="106" spans="1:6" ht="20.25" customHeight="1" thickTop="1" thickBot="1" x14ac:dyDescent="0.3">
      <c r="A106" s="6"/>
      <c r="B106" s="6"/>
      <c r="C106" s="6" t="s">
        <v>270</v>
      </c>
      <c r="D106" s="11"/>
      <c r="E106" s="14"/>
      <c r="F106" s="12">
        <f t="shared" si="1"/>
        <v>0</v>
      </c>
    </row>
    <row r="107" spans="1:6" ht="20.25" customHeight="1" thickTop="1" thickBot="1" x14ac:dyDescent="0.3">
      <c r="A107" s="6" t="s">
        <v>287</v>
      </c>
      <c r="B107" s="6"/>
      <c r="C107" s="6" t="s">
        <v>270</v>
      </c>
      <c r="D107" s="11">
        <v>6950</v>
      </c>
      <c r="E107" s="14"/>
      <c r="F107" s="12">
        <f t="shared" si="1"/>
        <v>0</v>
      </c>
    </row>
    <row r="108" spans="1:6" ht="20.25" customHeight="1" thickTop="1" thickBot="1" x14ac:dyDescent="0.3">
      <c r="A108" s="6" t="s">
        <v>288</v>
      </c>
      <c r="B108" s="6"/>
      <c r="C108" s="6" t="s">
        <v>270</v>
      </c>
      <c r="D108" s="11">
        <v>7450</v>
      </c>
      <c r="E108" s="14"/>
      <c r="F108" s="12">
        <f t="shared" si="1"/>
        <v>0</v>
      </c>
    </row>
    <row r="109" spans="1:6" ht="20.25" customHeight="1" thickTop="1" thickBot="1" x14ac:dyDescent="0.3">
      <c r="A109" s="56" t="s">
        <v>294</v>
      </c>
      <c r="B109" s="57"/>
      <c r="C109" s="57"/>
      <c r="D109" s="57"/>
      <c r="E109" s="57"/>
      <c r="F109" s="57"/>
    </row>
    <row r="110" spans="1:6" ht="20.25" customHeight="1" thickTop="1" thickBot="1" x14ac:dyDescent="0.3">
      <c r="A110" s="6" t="s">
        <v>289</v>
      </c>
      <c r="B110" s="6"/>
      <c r="C110" s="6" t="s">
        <v>270</v>
      </c>
      <c r="D110" s="11">
        <v>6700</v>
      </c>
      <c r="E110" s="14"/>
      <c r="F110" s="13">
        <f>D110*E110</f>
        <v>0</v>
      </c>
    </row>
    <row r="111" spans="1:6" ht="20.25" customHeight="1" thickTop="1" thickBot="1" x14ac:dyDescent="0.3">
      <c r="A111" s="6" t="s">
        <v>290</v>
      </c>
      <c r="B111" s="6"/>
      <c r="C111" s="6" t="s">
        <v>270</v>
      </c>
      <c r="D111" s="11">
        <v>6900</v>
      </c>
      <c r="E111" s="14"/>
      <c r="F111" s="13">
        <f>D111*E111</f>
        <v>0</v>
      </c>
    </row>
    <row r="112" spans="1:6" ht="20.25" customHeight="1" thickTop="1" thickBot="1" x14ac:dyDescent="0.3">
      <c r="A112" s="6" t="s">
        <v>291</v>
      </c>
      <c r="B112" s="6"/>
      <c r="C112" s="6" t="s">
        <v>270</v>
      </c>
      <c r="D112" s="11">
        <v>6300</v>
      </c>
      <c r="E112" s="14"/>
      <c r="F112" s="13">
        <f>D112*E112</f>
        <v>0</v>
      </c>
    </row>
    <row r="113" spans="1:6" ht="20.25" customHeight="1" thickTop="1" thickBot="1" x14ac:dyDescent="0.3">
      <c r="A113" s="6" t="s">
        <v>292</v>
      </c>
      <c r="B113" s="6"/>
      <c r="C113" s="6" t="s">
        <v>270</v>
      </c>
      <c r="D113" s="11">
        <v>6500</v>
      </c>
      <c r="E113" s="14"/>
      <c r="F113" s="13">
        <f>D113*E113</f>
        <v>0</v>
      </c>
    </row>
    <row r="114" spans="1:6" ht="20.25" customHeight="1" thickTop="1" thickBot="1" x14ac:dyDescent="0.3">
      <c r="A114" s="56" t="s">
        <v>295</v>
      </c>
      <c r="B114" s="57"/>
      <c r="C114" s="57"/>
      <c r="D114" s="57"/>
      <c r="E114" s="57"/>
      <c r="F114" s="57"/>
    </row>
    <row r="115" spans="1:6" ht="20.25" customHeight="1" thickTop="1" thickBot="1" x14ac:dyDescent="0.3">
      <c r="A115" s="6" t="s">
        <v>296</v>
      </c>
      <c r="B115" s="6"/>
      <c r="C115" s="6" t="s">
        <v>270</v>
      </c>
      <c r="D115" s="11">
        <v>13200</v>
      </c>
      <c r="E115" s="14"/>
      <c r="F115" s="13">
        <f>E115*D115</f>
        <v>0</v>
      </c>
    </row>
    <row r="116" spans="1:6" ht="39" thickTop="1" thickBot="1" x14ac:dyDescent="0.3">
      <c r="A116" s="6" t="s">
        <v>297</v>
      </c>
      <c r="B116" s="6"/>
      <c r="C116" s="6" t="s">
        <v>270</v>
      </c>
      <c r="D116" s="11">
        <v>16000</v>
      </c>
      <c r="E116" s="14"/>
      <c r="F116" s="13">
        <f t="shared" ref="F116:F121" si="3">E116*D116</f>
        <v>0</v>
      </c>
    </row>
    <row r="117" spans="1:6" ht="132.75" thickTop="1" thickBot="1" x14ac:dyDescent="0.3">
      <c r="A117" s="6" t="s">
        <v>298</v>
      </c>
      <c r="B117" s="6"/>
      <c r="C117" s="6" t="s">
        <v>270</v>
      </c>
      <c r="D117" s="11">
        <v>16220</v>
      </c>
      <c r="E117" s="14"/>
      <c r="F117" s="13">
        <f t="shared" si="3"/>
        <v>0</v>
      </c>
    </row>
    <row r="118" spans="1:6" ht="20.25" thickTop="1" thickBot="1" x14ac:dyDescent="0.3">
      <c r="A118" s="6" t="s">
        <v>299</v>
      </c>
      <c r="B118" s="6"/>
      <c r="C118" s="6" t="s">
        <v>270</v>
      </c>
      <c r="D118" s="11">
        <v>16850</v>
      </c>
      <c r="E118" s="14"/>
      <c r="F118" s="13">
        <f t="shared" si="3"/>
        <v>0</v>
      </c>
    </row>
    <row r="119" spans="1:6" ht="57.75" thickTop="1" thickBot="1" x14ac:dyDescent="0.3">
      <c r="A119" s="6" t="s">
        <v>300</v>
      </c>
      <c r="B119" s="6"/>
      <c r="C119" s="6" t="s">
        <v>270</v>
      </c>
      <c r="D119" s="11">
        <v>17160</v>
      </c>
      <c r="E119" s="14"/>
      <c r="F119" s="13">
        <f t="shared" si="3"/>
        <v>0</v>
      </c>
    </row>
    <row r="120" spans="1:6" ht="39" thickTop="1" thickBot="1" x14ac:dyDescent="0.3">
      <c r="A120" s="6" t="s">
        <v>301</v>
      </c>
      <c r="B120" s="6"/>
      <c r="C120" s="6" t="s">
        <v>270</v>
      </c>
      <c r="D120" s="11">
        <v>17520</v>
      </c>
      <c r="E120" s="14"/>
      <c r="F120" s="13">
        <f t="shared" si="3"/>
        <v>0</v>
      </c>
    </row>
    <row r="121" spans="1:6" ht="20.25" thickTop="1" thickBot="1" x14ac:dyDescent="0.3">
      <c r="A121" s="6" t="s">
        <v>302</v>
      </c>
      <c r="B121" s="6"/>
      <c r="C121" s="6" t="s">
        <v>270</v>
      </c>
      <c r="D121" s="11">
        <v>20180</v>
      </c>
      <c r="E121" s="14"/>
      <c r="F121" s="13">
        <f t="shared" si="3"/>
        <v>0</v>
      </c>
    </row>
    <row r="122" spans="1:6" ht="22.5" thickTop="1" thickBot="1" x14ac:dyDescent="0.3">
      <c r="A122" s="49" t="s">
        <v>232</v>
      </c>
      <c r="B122" s="50"/>
      <c r="C122" s="50"/>
      <c r="D122" s="50"/>
      <c r="E122" s="50"/>
      <c r="F122" s="50"/>
    </row>
    <row r="123" spans="1:6" ht="20.25" thickTop="1" thickBot="1" x14ac:dyDescent="0.3">
      <c r="A123" s="6" t="s">
        <v>219</v>
      </c>
      <c r="B123" s="6"/>
      <c r="C123" s="6" t="s">
        <v>218</v>
      </c>
      <c r="D123" s="11">
        <v>9600</v>
      </c>
      <c r="E123" s="14"/>
      <c r="F123" s="12">
        <f t="shared" si="1"/>
        <v>0</v>
      </c>
    </row>
    <row r="124" spans="1:6" ht="20.25" thickTop="1" thickBot="1" x14ac:dyDescent="0.3">
      <c r="A124" s="6" t="s">
        <v>220</v>
      </c>
      <c r="B124" s="6"/>
      <c r="C124" s="6" t="s">
        <v>218</v>
      </c>
      <c r="D124" s="11">
        <v>14400</v>
      </c>
      <c r="E124" s="14"/>
      <c r="F124" s="12">
        <f t="shared" si="1"/>
        <v>0</v>
      </c>
    </row>
    <row r="125" spans="1:6" ht="20.25" thickTop="1" thickBot="1" x14ac:dyDescent="0.3">
      <c r="A125" s="6" t="s">
        <v>221</v>
      </c>
      <c r="B125" s="6"/>
      <c r="C125" s="6" t="s">
        <v>218</v>
      </c>
      <c r="D125" s="11">
        <v>14500</v>
      </c>
      <c r="E125" s="14"/>
      <c r="F125" s="12">
        <f t="shared" si="1"/>
        <v>0</v>
      </c>
    </row>
    <row r="126" spans="1:6" ht="39" thickTop="1" thickBot="1" x14ac:dyDescent="0.3">
      <c r="A126" s="6" t="s">
        <v>225</v>
      </c>
      <c r="B126" s="6"/>
      <c r="C126" s="6" t="s">
        <v>218</v>
      </c>
      <c r="D126" s="11">
        <v>17400</v>
      </c>
      <c r="E126" s="14"/>
      <c r="F126" s="12">
        <f t="shared" si="1"/>
        <v>0</v>
      </c>
    </row>
    <row r="127" spans="1:6" ht="20.25" thickTop="1" thickBot="1" x14ac:dyDescent="0.3">
      <c r="A127" s="6" t="s">
        <v>222</v>
      </c>
      <c r="B127" s="6"/>
      <c r="C127" s="6" t="s">
        <v>218</v>
      </c>
      <c r="D127" s="11">
        <v>0</v>
      </c>
      <c r="E127" s="14"/>
      <c r="F127" s="12">
        <f t="shared" si="1"/>
        <v>0</v>
      </c>
    </row>
    <row r="128" spans="1:6" ht="20.25" thickTop="1" thickBot="1" x14ac:dyDescent="0.3">
      <c r="A128" s="6" t="s">
        <v>223</v>
      </c>
      <c r="B128" s="6"/>
      <c r="C128" s="6" t="s">
        <v>218</v>
      </c>
      <c r="D128" s="11">
        <v>0</v>
      </c>
      <c r="E128" s="14"/>
      <c r="F128" s="12">
        <f t="shared" si="1"/>
        <v>0</v>
      </c>
    </row>
    <row r="129" spans="1:6" ht="20.25" thickTop="1" thickBot="1" x14ac:dyDescent="0.3">
      <c r="A129" s="6" t="s">
        <v>224</v>
      </c>
      <c r="B129" s="6"/>
      <c r="C129" s="6" t="s">
        <v>218</v>
      </c>
      <c r="D129" s="11">
        <v>0</v>
      </c>
      <c r="E129" s="14"/>
      <c r="F129" s="12">
        <f t="shared" si="1"/>
        <v>0</v>
      </c>
    </row>
    <row r="130" spans="1:6" ht="39" thickTop="1" thickBot="1" x14ac:dyDescent="0.3">
      <c r="A130" s="6" t="s">
        <v>226</v>
      </c>
      <c r="B130" s="6"/>
      <c r="C130" s="6" t="s">
        <v>218</v>
      </c>
      <c r="D130" s="11">
        <v>0</v>
      </c>
      <c r="E130" s="14"/>
      <c r="F130" s="12">
        <f t="shared" si="1"/>
        <v>0</v>
      </c>
    </row>
    <row r="131" spans="1:6" ht="20.25" thickTop="1" thickBot="1" x14ac:dyDescent="0.3">
      <c r="A131" s="6" t="s">
        <v>313</v>
      </c>
      <c r="B131" s="6"/>
      <c r="C131" s="6" t="s">
        <v>218</v>
      </c>
      <c r="D131" s="11">
        <v>80000</v>
      </c>
      <c r="E131" s="14"/>
      <c r="F131" s="13">
        <f t="shared" si="1"/>
        <v>0</v>
      </c>
    </row>
    <row r="132" spans="1:6" ht="24.75" thickTop="1" thickBot="1" x14ac:dyDescent="0.3">
      <c r="A132" s="46" t="s">
        <v>140</v>
      </c>
      <c r="B132" s="47"/>
      <c r="C132" s="47"/>
      <c r="D132" s="47"/>
      <c r="E132" s="47"/>
      <c r="F132" s="47"/>
    </row>
    <row r="133" spans="1:6" ht="20.25" thickTop="1" thickBot="1" x14ac:dyDescent="0.3">
      <c r="A133" s="6" t="s">
        <v>140</v>
      </c>
      <c r="B133" s="6"/>
      <c r="C133" s="6"/>
      <c r="D133" s="11">
        <v>11000</v>
      </c>
      <c r="E133" s="14">
        <v>0</v>
      </c>
      <c r="F133" s="13">
        <f>D133*E133</f>
        <v>0</v>
      </c>
    </row>
    <row r="134" spans="1:6" ht="22.5" thickTop="1" thickBot="1" x14ac:dyDescent="0.3">
      <c r="A134" s="58" t="s">
        <v>309</v>
      </c>
      <c r="B134" s="59"/>
      <c r="C134" s="59"/>
      <c r="D134" s="59"/>
      <c r="E134" s="59"/>
      <c r="F134" s="60"/>
    </row>
    <row r="135" spans="1:6" ht="20.25" thickTop="1" thickBot="1" x14ac:dyDescent="0.3">
      <c r="A135" s="6" t="s">
        <v>159</v>
      </c>
      <c r="B135" s="6"/>
      <c r="C135" s="6"/>
      <c r="D135" s="11">
        <v>4250</v>
      </c>
      <c r="E135" s="28"/>
      <c r="F135" s="12">
        <f>D135*E135</f>
        <v>0</v>
      </c>
    </row>
    <row r="136" spans="1:6" ht="20.25" thickTop="1" thickBot="1" x14ac:dyDescent="0.3">
      <c r="A136" s="6" t="s">
        <v>160</v>
      </c>
      <c r="B136" s="6"/>
      <c r="C136" s="6"/>
      <c r="D136" s="11">
        <v>2000</v>
      </c>
      <c r="E136" s="28"/>
      <c r="F136" s="12">
        <f>D136*E136</f>
        <v>0</v>
      </c>
    </row>
    <row r="137" spans="1:6" ht="20.25" thickTop="1" thickBot="1" x14ac:dyDescent="0.3">
      <c r="A137" s="6" t="s">
        <v>161</v>
      </c>
      <c r="B137" s="6"/>
      <c r="C137" s="6"/>
      <c r="D137" s="11">
        <v>2500</v>
      </c>
      <c r="E137" s="28">
        <v>0</v>
      </c>
      <c r="F137" s="12">
        <f>D137*E137</f>
        <v>0</v>
      </c>
    </row>
    <row r="138" spans="1:6" ht="20.25" thickTop="1" thickBot="1" x14ac:dyDescent="0.3">
      <c r="A138" s="6" t="s">
        <v>310</v>
      </c>
      <c r="B138" s="6"/>
      <c r="C138" s="6"/>
      <c r="D138" s="11"/>
      <c r="E138" s="28"/>
      <c r="F138" s="13"/>
    </row>
    <row r="139" spans="1:6" ht="20.25" thickTop="1" thickBot="1" x14ac:dyDescent="0.3">
      <c r="A139" s="6" t="s">
        <v>311</v>
      </c>
      <c r="B139" s="6"/>
      <c r="C139" s="6"/>
      <c r="D139" s="11"/>
      <c r="E139" s="28"/>
      <c r="F139" s="13"/>
    </row>
    <row r="140" spans="1:6" ht="20.25" thickTop="1" thickBot="1" x14ac:dyDescent="0.3">
      <c r="A140" s="6" t="s">
        <v>312</v>
      </c>
      <c r="B140" s="6"/>
      <c r="C140" s="6"/>
      <c r="D140" s="11"/>
      <c r="E140" s="28"/>
      <c r="F140" s="13"/>
    </row>
    <row r="141" spans="1:6" ht="24.75" thickTop="1" thickBot="1" x14ac:dyDescent="0.3">
      <c r="A141" s="46" t="s">
        <v>37</v>
      </c>
      <c r="B141" s="47"/>
      <c r="C141" s="47"/>
      <c r="D141" s="47"/>
      <c r="E141" s="47"/>
      <c r="F141" s="48"/>
    </row>
    <row r="142" spans="1:6" ht="22.5" thickTop="1" thickBot="1" x14ac:dyDescent="0.3">
      <c r="A142" s="49" t="s">
        <v>46</v>
      </c>
      <c r="B142" s="50"/>
      <c r="C142" s="50"/>
      <c r="D142" s="50"/>
      <c r="E142" s="50"/>
      <c r="F142" s="55"/>
    </row>
    <row r="143" spans="1:6" ht="20.25" thickTop="1" thickBot="1" x14ac:dyDescent="0.3">
      <c r="A143" s="6" t="s">
        <v>325</v>
      </c>
      <c r="B143" s="6"/>
      <c r="C143" s="6" t="s">
        <v>189</v>
      </c>
      <c r="D143" s="11">
        <v>165</v>
      </c>
      <c r="E143" s="14">
        <v>10</v>
      </c>
      <c r="F143" s="12">
        <f>D143*E143</f>
        <v>1650</v>
      </c>
    </row>
    <row r="144" spans="1:6" ht="20.25" thickTop="1" thickBot="1" x14ac:dyDescent="0.3">
      <c r="A144" s="6" t="s">
        <v>330</v>
      </c>
      <c r="B144" s="6"/>
      <c r="C144" s="6" t="s">
        <v>189</v>
      </c>
      <c r="D144" s="11">
        <v>165</v>
      </c>
      <c r="E144" s="14"/>
      <c r="F144" s="12">
        <f>D144*E144</f>
        <v>0</v>
      </c>
    </row>
    <row r="145" spans="1:6" ht="20.25" thickTop="1" thickBot="1" x14ac:dyDescent="0.3">
      <c r="A145" s="6" t="s">
        <v>326</v>
      </c>
      <c r="B145" s="6"/>
      <c r="C145" s="6" t="s">
        <v>189</v>
      </c>
      <c r="D145" s="11">
        <v>45</v>
      </c>
      <c r="E145" s="14"/>
      <c r="F145" s="12"/>
    </row>
    <row r="146" spans="1:6" ht="20.25" thickTop="1" thickBot="1" x14ac:dyDescent="0.3">
      <c r="A146" s="6" t="s">
        <v>327</v>
      </c>
      <c r="B146" s="6"/>
      <c r="C146" s="6" t="s">
        <v>189</v>
      </c>
      <c r="D146" s="11">
        <v>310</v>
      </c>
      <c r="E146" s="14"/>
      <c r="F146" s="12">
        <f>D146*E146</f>
        <v>0</v>
      </c>
    </row>
    <row r="147" spans="1:6" ht="39" thickTop="1" thickBot="1" x14ac:dyDescent="0.3">
      <c r="A147" s="6" t="s">
        <v>328</v>
      </c>
      <c r="B147" s="6"/>
      <c r="C147" s="6" t="s">
        <v>189</v>
      </c>
      <c r="D147" s="11">
        <v>170</v>
      </c>
      <c r="E147" s="14"/>
      <c r="F147" s="12"/>
    </row>
    <row r="148" spans="1:6" ht="39" thickTop="1" thickBot="1" x14ac:dyDescent="0.3">
      <c r="A148" s="6" t="s">
        <v>329</v>
      </c>
      <c r="B148" s="6"/>
      <c r="C148" s="6" t="s">
        <v>189</v>
      </c>
      <c r="D148" s="11">
        <v>157</v>
      </c>
      <c r="E148" s="14"/>
      <c r="F148" s="12"/>
    </row>
    <row r="149" spans="1:6" ht="39" thickTop="1" thickBot="1" x14ac:dyDescent="0.3">
      <c r="A149" s="6" t="s">
        <v>78</v>
      </c>
      <c r="B149" s="6"/>
      <c r="C149" s="6" t="s">
        <v>189</v>
      </c>
      <c r="D149" s="11">
        <v>150</v>
      </c>
      <c r="E149" s="14"/>
      <c r="F149" s="12">
        <f>D149*E149</f>
        <v>0</v>
      </c>
    </row>
    <row r="150" spans="1:6" ht="22.5" thickTop="1" thickBot="1" x14ac:dyDescent="0.3">
      <c r="A150" s="49" t="s">
        <v>45</v>
      </c>
      <c r="B150" s="50"/>
      <c r="C150" s="50"/>
      <c r="D150" s="50"/>
      <c r="E150" s="50"/>
      <c r="F150" s="55"/>
    </row>
    <row r="151" spans="1:6" ht="20.25" thickTop="1" thickBot="1" x14ac:dyDescent="0.3">
      <c r="A151" s="6" t="s">
        <v>331</v>
      </c>
      <c r="B151" s="6"/>
      <c r="C151" s="6" t="s">
        <v>189</v>
      </c>
      <c r="D151" s="11">
        <v>490</v>
      </c>
      <c r="E151" s="14">
        <v>0</v>
      </c>
      <c r="F151" s="12">
        <f>D151*E151</f>
        <v>0</v>
      </c>
    </row>
    <row r="152" spans="1:6" ht="20.25" thickTop="1" thickBot="1" x14ac:dyDescent="0.3">
      <c r="A152" s="6" t="s">
        <v>332</v>
      </c>
      <c r="B152" s="6"/>
      <c r="C152" s="6" t="s">
        <v>189</v>
      </c>
      <c r="D152" s="11">
        <v>584</v>
      </c>
      <c r="E152" s="14"/>
      <c r="F152" s="12">
        <f t="shared" ref="F152:F158" si="4">D152*E152</f>
        <v>0</v>
      </c>
    </row>
    <row r="153" spans="1:6" ht="20.25" thickTop="1" thickBot="1" x14ac:dyDescent="0.3">
      <c r="A153" s="6" t="s">
        <v>333</v>
      </c>
      <c r="B153" s="6"/>
      <c r="C153" s="6" t="s">
        <v>189</v>
      </c>
      <c r="D153" s="11">
        <v>590</v>
      </c>
      <c r="E153" s="14"/>
      <c r="F153" s="12">
        <f t="shared" si="4"/>
        <v>0</v>
      </c>
    </row>
    <row r="154" spans="1:6" ht="20.25" thickTop="1" thickBot="1" x14ac:dyDescent="0.3">
      <c r="A154" s="6" t="s">
        <v>334</v>
      </c>
      <c r="B154" s="6"/>
      <c r="C154" s="6" t="s">
        <v>189</v>
      </c>
      <c r="D154" s="11">
        <v>951</v>
      </c>
      <c r="E154" s="14"/>
      <c r="F154" s="12">
        <f t="shared" si="4"/>
        <v>0</v>
      </c>
    </row>
    <row r="155" spans="1:6" ht="20.25" thickTop="1" thickBot="1" x14ac:dyDescent="0.3">
      <c r="A155" s="6" t="s">
        <v>335</v>
      </c>
      <c r="B155" s="6"/>
      <c r="C155" s="6" t="s">
        <v>189</v>
      </c>
      <c r="D155" s="11">
        <v>975</v>
      </c>
      <c r="E155" s="14"/>
      <c r="F155" s="12">
        <f t="shared" si="4"/>
        <v>0</v>
      </c>
    </row>
    <row r="156" spans="1:6" ht="20.25" thickTop="1" thickBot="1" x14ac:dyDescent="0.3">
      <c r="A156" s="6" t="s">
        <v>336</v>
      </c>
      <c r="B156" s="6"/>
      <c r="C156" s="6" t="s">
        <v>189</v>
      </c>
      <c r="D156" s="11">
        <v>1701</v>
      </c>
      <c r="E156" s="28">
        <v>0</v>
      </c>
      <c r="F156" s="12">
        <f t="shared" si="4"/>
        <v>0</v>
      </c>
    </row>
    <row r="157" spans="1:6" ht="39" thickTop="1" thickBot="1" x14ac:dyDescent="0.3">
      <c r="A157" s="6" t="s">
        <v>337</v>
      </c>
      <c r="B157" s="6"/>
      <c r="C157" s="6" t="s">
        <v>189</v>
      </c>
      <c r="D157" s="11">
        <v>462</v>
      </c>
      <c r="E157" s="28"/>
      <c r="F157" s="12">
        <f t="shared" si="4"/>
        <v>0</v>
      </c>
    </row>
    <row r="158" spans="1:6" ht="39" thickTop="1" thickBot="1" x14ac:dyDescent="0.3">
      <c r="A158" s="6" t="s">
        <v>338</v>
      </c>
      <c r="B158" s="6"/>
      <c r="C158" s="6" t="s">
        <v>189</v>
      </c>
      <c r="D158" s="11">
        <v>589</v>
      </c>
      <c r="E158" s="14">
        <v>0</v>
      </c>
      <c r="F158" s="12">
        <f t="shared" si="4"/>
        <v>0</v>
      </c>
    </row>
    <row r="159" spans="1:6" ht="24.75" thickTop="1" thickBot="1" x14ac:dyDescent="0.3">
      <c r="A159" s="61" t="s">
        <v>233</v>
      </c>
      <c r="B159" s="62"/>
      <c r="C159" s="62"/>
      <c r="D159" s="62"/>
      <c r="E159" s="62"/>
      <c r="F159" s="62"/>
    </row>
    <row r="160" spans="1:6" ht="20.25" thickTop="1" thickBot="1" x14ac:dyDescent="0.3">
      <c r="A160" s="6" t="s">
        <v>234</v>
      </c>
      <c r="B160" s="6"/>
      <c r="C160" s="6" t="s">
        <v>260</v>
      </c>
      <c r="D160" s="11">
        <v>357</v>
      </c>
      <c r="E160" s="14"/>
      <c r="F160" s="13">
        <f>E160*D160</f>
        <v>0</v>
      </c>
    </row>
    <row r="161" spans="1:6" ht="20.25" thickTop="1" thickBot="1" x14ac:dyDescent="0.3">
      <c r="A161" s="6" t="s">
        <v>235</v>
      </c>
      <c r="B161" s="6"/>
      <c r="C161" s="6" t="s">
        <v>260</v>
      </c>
      <c r="D161" s="11">
        <v>407</v>
      </c>
      <c r="E161" s="14"/>
      <c r="F161" s="13">
        <f t="shared" ref="F161:F168" si="5">E161*D161</f>
        <v>0</v>
      </c>
    </row>
    <row r="162" spans="1:6" ht="20.25" thickTop="1" thickBot="1" x14ac:dyDescent="0.3">
      <c r="A162" s="6" t="s">
        <v>236</v>
      </c>
      <c r="B162" s="6"/>
      <c r="C162" s="6" t="s">
        <v>260</v>
      </c>
      <c r="D162" s="11">
        <v>427</v>
      </c>
      <c r="E162" s="14"/>
      <c r="F162" s="13">
        <f t="shared" si="5"/>
        <v>0</v>
      </c>
    </row>
    <row r="163" spans="1:6" ht="20.25" thickTop="1" thickBot="1" x14ac:dyDescent="0.3">
      <c r="A163" s="6" t="s">
        <v>237</v>
      </c>
      <c r="B163" s="6"/>
      <c r="C163" s="6" t="s">
        <v>260</v>
      </c>
      <c r="D163" s="11">
        <v>603</v>
      </c>
      <c r="E163" s="14"/>
      <c r="F163" s="13">
        <f t="shared" si="5"/>
        <v>0</v>
      </c>
    </row>
    <row r="164" spans="1:6" ht="20.25" thickTop="1" thickBot="1" x14ac:dyDescent="0.3">
      <c r="A164" s="6" t="s">
        <v>238</v>
      </c>
      <c r="B164" s="6"/>
      <c r="C164" s="6" t="s">
        <v>260</v>
      </c>
      <c r="D164" s="11">
        <v>784</v>
      </c>
      <c r="E164" s="14"/>
      <c r="F164" s="13">
        <f t="shared" si="5"/>
        <v>0</v>
      </c>
    </row>
    <row r="165" spans="1:6" ht="20.25" thickTop="1" thickBot="1" x14ac:dyDescent="0.3">
      <c r="A165" s="6" t="s">
        <v>239</v>
      </c>
      <c r="B165" s="6"/>
      <c r="C165" s="6" t="s">
        <v>260</v>
      </c>
      <c r="D165" s="11">
        <v>172</v>
      </c>
      <c r="E165" s="14"/>
      <c r="F165" s="13">
        <f t="shared" si="5"/>
        <v>0</v>
      </c>
    </row>
    <row r="166" spans="1:6" ht="20.25" thickTop="1" thickBot="1" x14ac:dyDescent="0.3">
      <c r="A166" s="6" t="s">
        <v>240</v>
      </c>
      <c r="B166" s="6"/>
      <c r="C166" s="6" t="s">
        <v>260</v>
      </c>
      <c r="D166" s="11">
        <v>653</v>
      </c>
      <c r="E166" s="14"/>
      <c r="F166" s="13">
        <f t="shared" si="5"/>
        <v>0</v>
      </c>
    </row>
    <row r="167" spans="1:6" ht="20.25" thickTop="1" thickBot="1" x14ac:dyDescent="0.3">
      <c r="A167" s="6" t="s">
        <v>241</v>
      </c>
      <c r="B167" s="6"/>
      <c r="C167" s="6" t="s">
        <v>260</v>
      </c>
      <c r="D167" s="11">
        <v>535</v>
      </c>
      <c r="E167" s="14"/>
      <c r="F167" s="13">
        <f t="shared" si="5"/>
        <v>0</v>
      </c>
    </row>
    <row r="168" spans="1:6" ht="20.25" thickTop="1" thickBot="1" x14ac:dyDescent="0.3">
      <c r="A168" s="6" t="s">
        <v>242</v>
      </c>
      <c r="B168" s="6"/>
      <c r="C168" s="6" t="s">
        <v>260</v>
      </c>
      <c r="D168" s="11">
        <v>523</v>
      </c>
      <c r="E168" s="14"/>
      <c r="F168" s="13">
        <f t="shared" si="5"/>
        <v>0</v>
      </c>
    </row>
    <row r="169" spans="1:6" ht="22.5" thickTop="1" thickBot="1" x14ac:dyDescent="0.3">
      <c r="A169" s="49" t="s">
        <v>47</v>
      </c>
      <c r="B169" s="50"/>
      <c r="C169" s="50"/>
      <c r="D169" s="50"/>
      <c r="E169" s="50"/>
      <c r="F169" s="55"/>
    </row>
    <row r="170" spans="1:6" ht="20.25" thickTop="1" thickBot="1" x14ac:dyDescent="0.3">
      <c r="A170" s="6" t="s">
        <v>339</v>
      </c>
      <c r="B170" s="6"/>
      <c r="C170" s="6" t="s">
        <v>189</v>
      </c>
      <c r="D170" s="11">
        <v>14000</v>
      </c>
      <c r="E170" s="14"/>
      <c r="F170" s="12">
        <f>D170*E170</f>
        <v>0</v>
      </c>
    </row>
    <row r="171" spans="1:6" ht="57.75" thickTop="1" thickBot="1" x14ac:dyDescent="0.3">
      <c r="A171" s="6" t="s">
        <v>340</v>
      </c>
      <c r="B171" s="6"/>
      <c r="C171" s="6" t="s">
        <v>189</v>
      </c>
      <c r="D171" s="11">
        <v>2311</v>
      </c>
      <c r="E171" s="14"/>
      <c r="F171" s="12">
        <f t="shared" ref="F171:F178" si="6">D171*E171</f>
        <v>0</v>
      </c>
    </row>
    <row r="172" spans="1:6" ht="39" thickTop="1" thickBot="1" x14ac:dyDescent="0.3">
      <c r="A172" s="6" t="s">
        <v>342</v>
      </c>
      <c r="B172" s="6"/>
      <c r="C172" s="6" t="s">
        <v>189</v>
      </c>
      <c r="D172" s="11">
        <v>3869</v>
      </c>
      <c r="E172" s="14"/>
      <c r="F172" s="12"/>
    </row>
    <row r="173" spans="1:6" ht="39" thickTop="1" thickBot="1" x14ac:dyDescent="0.3">
      <c r="A173" s="6" t="s">
        <v>341</v>
      </c>
      <c r="B173" s="6"/>
      <c r="C173" s="6" t="s">
        <v>189</v>
      </c>
      <c r="D173" s="11">
        <v>3000</v>
      </c>
      <c r="E173" s="14"/>
      <c r="F173" s="12"/>
    </row>
    <row r="174" spans="1:6" ht="39" thickTop="1" thickBot="1" x14ac:dyDescent="0.3">
      <c r="A174" s="6" t="s">
        <v>343</v>
      </c>
      <c r="B174" s="6"/>
      <c r="C174" s="6" t="s">
        <v>189</v>
      </c>
      <c r="D174" s="11">
        <v>4683</v>
      </c>
      <c r="E174" s="14"/>
      <c r="F174" s="12">
        <f t="shared" si="6"/>
        <v>0</v>
      </c>
    </row>
    <row r="175" spans="1:6" ht="32.25" customHeight="1" thickTop="1" thickBot="1" x14ac:dyDescent="0.3">
      <c r="A175" s="6" t="s">
        <v>344</v>
      </c>
      <c r="B175" s="6"/>
      <c r="C175" s="6" t="s">
        <v>189</v>
      </c>
      <c r="D175" s="11">
        <v>3700</v>
      </c>
      <c r="E175" s="14"/>
      <c r="F175" s="12">
        <f t="shared" si="6"/>
        <v>0</v>
      </c>
    </row>
    <row r="176" spans="1:6" ht="39" customHeight="1" thickTop="1" thickBot="1" x14ac:dyDescent="0.3">
      <c r="A176" s="6" t="s">
        <v>345</v>
      </c>
      <c r="B176" s="6"/>
      <c r="C176" s="6" t="s">
        <v>189</v>
      </c>
      <c r="D176" s="11">
        <v>4700</v>
      </c>
      <c r="E176" s="14"/>
      <c r="F176" s="12">
        <f t="shared" si="6"/>
        <v>0</v>
      </c>
    </row>
    <row r="177" spans="1:6" ht="57.75" thickTop="1" thickBot="1" x14ac:dyDescent="0.3">
      <c r="A177" s="6" t="s">
        <v>346</v>
      </c>
      <c r="B177" s="6"/>
      <c r="C177" s="6" t="s">
        <v>189</v>
      </c>
      <c r="D177" s="11">
        <v>7600</v>
      </c>
      <c r="E177" s="14"/>
      <c r="F177" s="12">
        <f t="shared" si="6"/>
        <v>0</v>
      </c>
    </row>
    <row r="178" spans="1:6" ht="39" thickTop="1" thickBot="1" x14ac:dyDescent="0.3">
      <c r="A178" s="6" t="s">
        <v>347</v>
      </c>
      <c r="B178" s="6"/>
      <c r="C178" s="6" t="s">
        <v>189</v>
      </c>
      <c r="D178" s="11">
        <v>9300</v>
      </c>
      <c r="E178" s="14"/>
      <c r="F178" s="12">
        <f t="shared" si="6"/>
        <v>0</v>
      </c>
    </row>
    <row r="179" spans="1:6" ht="22.5" thickTop="1" thickBot="1" x14ac:dyDescent="0.3">
      <c r="A179" s="49" t="s">
        <v>48</v>
      </c>
      <c r="B179" s="50"/>
      <c r="C179" s="50"/>
      <c r="D179" s="50"/>
      <c r="E179" s="50"/>
      <c r="F179" s="55"/>
    </row>
    <row r="180" spans="1:6" ht="20.25" thickTop="1" thickBot="1" x14ac:dyDescent="0.3">
      <c r="A180" s="6" t="s">
        <v>113</v>
      </c>
      <c r="B180" s="6"/>
      <c r="C180" s="6" t="s">
        <v>260</v>
      </c>
      <c r="D180" s="11">
        <v>8203</v>
      </c>
      <c r="E180" s="14"/>
      <c r="F180" s="12">
        <f>D180*E180</f>
        <v>0</v>
      </c>
    </row>
    <row r="181" spans="1:6" ht="39" thickTop="1" thickBot="1" x14ac:dyDescent="0.3">
      <c r="A181" s="6" t="s">
        <v>109</v>
      </c>
      <c r="B181" s="6"/>
      <c r="C181" s="6" t="s">
        <v>260</v>
      </c>
      <c r="D181" s="11">
        <v>1113</v>
      </c>
      <c r="E181" s="14"/>
      <c r="F181" s="12">
        <f>D181*E181</f>
        <v>0</v>
      </c>
    </row>
    <row r="182" spans="1:6" ht="39" thickTop="1" thickBot="1" x14ac:dyDescent="0.3">
      <c r="A182" s="6" t="s">
        <v>110</v>
      </c>
      <c r="B182" s="6"/>
      <c r="C182" s="6" t="s">
        <v>260</v>
      </c>
      <c r="D182" s="11">
        <v>1829</v>
      </c>
      <c r="E182" s="14"/>
      <c r="F182" s="13">
        <f>D182*E182</f>
        <v>0</v>
      </c>
    </row>
    <row r="183" spans="1:6" ht="39" thickTop="1" thickBot="1" x14ac:dyDescent="0.3">
      <c r="A183" s="6" t="s">
        <v>111</v>
      </c>
      <c r="B183" s="6"/>
      <c r="C183" s="6" t="s">
        <v>260</v>
      </c>
      <c r="D183" s="11">
        <v>1245</v>
      </c>
      <c r="E183" s="14"/>
      <c r="F183" s="13">
        <f>D183*E183</f>
        <v>0</v>
      </c>
    </row>
    <row r="184" spans="1:6" ht="39" thickTop="1" thickBot="1" x14ac:dyDescent="0.3">
      <c r="A184" s="6" t="s">
        <v>112</v>
      </c>
      <c r="B184" s="6"/>
      <c r="C184" s="6" t="s">
        <v>260</v>
      </c>
      <c r="D184" s="11">
        <v>2166</v>
      </c>
      <c r="E184" s="14"/>
      <c r="F184" s="13">
        <f>D184*E184</f>
        <v>0</v>
      </c>
    </row>
    <row r="185" spans="1:6" ht="22.5" thickTop="1" thickBot="1" x14ac:dyDescent="0.3">
      <c r="A185" s="49" t="s">
        <v>259</v>
      </c>
      <c r="B185" s="50"/>
      <c r="C185" s="50"/>
      <c r="D185" s="50"/>
      <c r="E185" s="50"/>
      <c r="F185" s="50"/>
    </row>
    <row r="186" spans="1:6" ht="20.25" thickTop="1" thickBot="1" x14ac:dyDescent="0.3">
      <c r="A186" s="6" t="s">
        <v>243</v>
      </c>
      <c r="B186" s="6"/>
      <c r="C186" s="6" t="s">
        <v>260</v>
      </c>
      <c r="D186" s="11">
        <v>6633</v>
      </c>
      <c r="E186" s="14"/>
      <c r="F186" s="13">
        <f>E186*D186</f>
        <v>0</v>
      </c>
    </row>
    <row r="187" spans="1:6" ht="39" thickTop="1" thickBot="1" x14ac:dyDescent="0.3">
      <c r="A187" s="6" t="s">
        <v>244</v>
      </c>
      <c r="B187" s="6"/>
      <c r="C187" s="6" t="s">
        <v>260</v>
      </c>
      <c r="D187" s="11">
        <v>3305</v>
      </c>
      <c r="E187" s="14"/>
      <c r="F187" s="13">
        <f>E187*D187</f>
        <v>0</v>
      </c>
    </row>
    <row r="188" spans="1:6" ht="39" thickTop="1" thickBot="1" x14ac:dyDescent="0.3">
      <c r="A188" s="6" t="s">
        <v>245</v>
      </c>
      <c r="B188" s="6"/>
      <c r="C188" s="6" t="s">
        <v>260</v>
      </c>
      <c r="D188" s="11">
        <v>4178</v>
      </c>
      <c r="E188" s="14"/>
      <c r="F188" s="13">
        <f>E188*D188</f>
        <v>0</v>
      </c>
    </row>
    <row r="189" spans="1:6" ht="39" thickTop="1" thickBot="1" x14ac:dyDescent="0.3">
      <c r="A189" s="6" t="s">
        <v>246</v>
      </c>
      <c r="B189" s="6"/>
      <c r="C189" s="6" t="s">
        <v>260</v>
      </c>
      <c r="D189" s="11">
        <v>4974</v>
      </c>
      <c r="E189" s="14"/>
      <c r="F189" s="13">
        <f>E189*D189</f>
        <v>0</v>
      </c>
    </row>
    <row r="190" spans="1:6" ht="20.25" thickTop="1" thickBot="1" x14ac:dyDescent="0.3">
      <c r="A190" s="53"/>
      <c r="B190" s="54"/>
      <c r="C190" s="54"/>
      <c r="D190" s="54"/>
      <c r="E190" s="54"/>
      <c r="F190" s="54"/>
    </row>
    <row r="191" spans="1:6" ht="39" thickTop="1" thickBot="1" x14ac:dyDescent="0.3">
      <c r="A191" s="6" t="s">
        <v>247</v>
      </c>
      <c r="B191" s="6"/>
      <c r="C191" s="6" t="s">
        <v>260</v>
      </c>
      <c r="D191" s="11">
        <v>4514</v>
      </c>
      <c r="E191" s="14"/>
      <c r="F191" s="13">
        <f>E191*D191</f>
        <v>0</v>
      </c>
    </row>
    <row r="192" spans="1:6" ht="39" thickTop="1" thickBot="1" x14ac:dyDescent="0.3">
      <c r="A192" s="6" t="s">
        <v>248</v>
      </c>
      <c r="B192" s="6"/>
      <c r="C192" s="6" t="s">
        <v>260</v>
      </c>
      <c r="D192" s="11">
        <v>5437</v>
      </c>
      <c r="E192" s="14"/>
      <c r="F192" s="13">
        <f>E192*D192</f>
        <v>0</v>
      </c>
    </row>
    <row r="193" spans="1:6" ht="39" thickTop="1" thickBot="1" x14ac:dyDescent="0.3">
      <c r="A193" s="6" t="s">
        <v>249</v>
      </c>
      <c r="B193" s="6"/>
      <c r="C193" s="6" t="s">
        <v>260</v>
      </c>
      <c r="D193" s="11">
        <v>6243</v>
      </c>
      <c r="E193" s="14"/>
      <c r="F193" s="13">
        <f>E193*D193</f>
        <v>0</v>
      </c>
    </row>
    <row r="194" spans="1:6" ht="20.25" thickTop="1" thickBot="1" x14ac:dyDescent="0.3">
      <c r="A194" s="53"/>
      <c r="B194" s="54"/>
      <c r="C194" s="54"/>
      <c r="D194" s="54"/>
      <c r="E194" s="54"/>
      <c r="F194" s="54"/>
    </row>
    <row r="195" spans="1:6" ht="39" thickTop="1" thickBot="1" x14ac:dyDescent="0.3">
      <c r="A195" s="6" t="s">
        <v>250</v>
      </c>
      <c r="B195" s="6"/>
      <c r="C195" s="6" t="s">
        <v>260</v>
      </c>
      <c r="D195" s="11">
        <v>10007</v>
      </c>
      <c r="E195" s="14"/>
      <c r="F195" s="13">
        <f>E195*D195</f>
        <v>0</v>
      </c>
    </row>
    <row r="196" spans="1:6" ht="39" thickTop="1" thickBot="1" x14ac:dyDescent="0.3">
      <c r="A196" s="6" t="s">
        <v>251</v>
      </c>
      <c r="B196" s="6"/>
      <c r="C196" s="6" t="s">
        <v>260</v>
      </c>
      <c r="D196" s="11">
        <v>4875</v>
      </c>
      <c r="E196" s="14"/>
      <c r="F196" s="13">
        <f>E196*D196</f>
        <v>0</v>
      </c>
    </row>
    <row r="197" spans="1:6" ht="39" thickTop="1" thickBot="1" x14ac:dyDescent="0.3">
      <c r="A197" s="6" t="s">
        <v>252</v>
      </c>
      <c r="B197" s="6"/>
      <c r="C197" s="6" t="s">
        <v>260</v>
      </c>
      <c r="D197" s="11">
        <v>5434</v>
      </c>
      <c r="E197" s="14"/>
      <c r="F197" s="13">
        <f>E197*D197</f>
        <v>0</v>
      </c>
    </row>
    <row r="198" spans="1:6" ht="39" thickTop="1" thickBot="1" x14ac:dyDescent="0.3">
      <c r="A198" s="6" t="s">
        <v>253</v>
      </c>
      <c r="B198" s="6"/>
      <c r="C198" s="6" t="s">
        <v>260</v>
      </c>
      <c r="D198" s="11">
        <v>6254</v>
      </c>
      <c r="E198" s="14"/>
      <c r="F198" s="13">
        <f>E198*D198</f>
        <v>0</v>
      </c>
    </row>
    <row r="199" spans="1:6" ht="39" thickTop="1" thickBot="1" x14ac:dyDescent="0.3">
      <c r="A199" s="6" t="s">
        <v>254</v>
      </c>
      <c r="B199" s="6"/>
      <c r="C199" s="6" t="s">
        <v>260</v>
      </c>
      <c r="D199" s="11">
        <v>7990</v>
      </c>
      <c r="E199" s="14"/>
      <c r="F199" s="13">
        <f>E199*D199</f>
        <v>0</v>
      </c>
    </row>
    <row r="200" spans="1:6" ht="20.25" thickTop="1" thickBot="1" x14ac:dyDescent="0.3">
      <c r="A200" s="53"/>
      <c r="B200" s="54"/>
      <c r="C200" s="54"/>
      <c r="D200" s="54"/>
      <c r="E200" s="54"/>
      <c r="F200" s="54"/>
    </row>
    <row r="201" spans="1:6" ht="39" thickTop="1" thickBot="1" x14ac:dyDescent="0.3">
      <c r="A201" s="6" t="s">
        <v>255</v>
      </c>
      <c r="B201" s="6"/>
      <c r="C201" s="6" t="s">
        <v>260</v>
      </c>
      <c r="D201" s="11">
        <v>7490</v>
      </c>
      <c r="E201" s="14"/>
      <c r="F201" s="13">
        <f>E201*D201</f>
        <v>0</v>
      </c>
    </row>
    <row r="202" spans="1:6" ht="39" thickTop="1" thickBot="1" x14ac:dyDescent="0.3">
      <c r="A202" s="6" t="s">
        <v>256</v>
      </c>
      <c r="B202" s="6"/>
      <c r="C202" s="6" t="s">
        <v>260</v>
      </c>
      <c r="D202" s="11">
        <v>8042</v>
      </c>
      <c r="E202" s="14"/>
      <c r="F202" s="13">
        <f>E202*D202</f>
        <v>0</v>
      </c>
    </row>
    <row r="203" spans="1:6" ht="39" thickTop="1" thickBot="1" x14ac:dyDescent="0.3">
      <c r="A203" s="6" t="s">
        <v>257</v>
      </c>
      <c r="B203" s="6"/>
      <c r="C203" s="6" t="s">
        <v>260</v>
      </c>
      <c r="D203" s="11">
        <v>8862</v>
      </c>
      <c r="E203" s="14"/>
      <c r="F203" s="13">
        <f>E203*D203</f>
        <v>0</v>
      </c>
    </row>
    <row r="204" spans="1:6" ht="39" thickTop="1" thickBot="1" x14ac:dyDescent="0.3">
      <c r="A204" s="6" t="s">
        <v>258</v>
      </c>
      <c r="B204" s="6"/>
      <c r="C204" s="6" t="s">
        <v>260</v>
      </c>
      <c r="D204" s="11">
        <v>10598</v>
      </c>
      <c r="E204" s="14"/>
      <c r="F204" s="13">
        <f>E204*D204</f>
        <v>0</v>
      </c>
    </row>
    <row r="205" spans="1:6" ht="22.5" thickTop="1" thickBot="1" x14ac:dyDescent="0.3">
      <c r="A205" s="49" t="s">
        <v>49</v>
      </c>
      <c r="B205" s="50"/>
      <c r="C205" s="50"/>
      <c r="D205" s="50"/>
      <c r="E205" s="50"/>
      <c r="F205" s="50"/>
    </row>
    <row r="206" spans="1:6" ht="22.5" thickTop="1" thickBot="1" x14ac:dyDescent="0.3">
      <c r="A206" s="51" t="s">
        <v>307</v>
      </c>
      <c r="B206" s="52"/>
      <c r="C206" s="52"/>
      <c r="D206" s="52"/>
      <c r="E206" s="52"/>
      <c r="F206" s="52"/>
    </row>
    <row r="207" spans="1:6" ht="20.25" thickTop="1" thickBot="1" x14ac:dyDescent="0.3">
      <c r="A207" s="6" t="s">
        <v>261</v>
      </c>
      <c r="B207" s="6"/>
      <c r="C207" s="6" t="s">
        <v>189</v>
      </c>
      <c r="D207" s="11">
        <v>9000</v>
      </c>
      <c r="E207" s="14">
        <v>0</v>
      </c>
      <c r="F207" s="12">
        <f>D207*E207</f>
        <v>0</v>
      </c>
    </row>
    <row r="208" spans="1:6" ht="20.25" thickTop="1" thickBot="1" x14ac:dyDescent="0.3">
      <c r="A208" s="6" t="s">
        <v>262</v>
      </c>
      <c r="B208" s="6"/>
      <c r="C208" s="6" t="s">
        <v>189</v>
      </c>
      <c r="D208" s="11">
        <v>5300</v>
      </c>
      <c r="E208" s="14">
        <v>0</v>
      </c>
      <c r="F208" s="12">
        <f t="shared" ref="F208:F216" si="7">D208*E208</f>
        <v>0</v>
      </c>
    </row>
    <row r="209" spans="1:6" ht="39" thickTop="1" thickBot="1" x14ac:dyDescent="0.3">
      <c r="A209" s="6" t="s">
        <v>263</v>
      </c>
      <c r="B209" s="6"/>
      <c r="C209" s="6" t="s">
        <v>189</v>
      </c>
      <c r="D209" s="11">
        <v>6500</v>
      </c>
      <c r="E209" s="14"/>
      <c r="F209" s="12">
        <f t="shared" si="7"/>
        <v>0</v>
      </c>
    </row>
    <row r="210" spans="1:6" ht="39" thickTop="1" thickBot="1" x14ac:dyDescent="0.3">
      <c r="A210" s="6" t="s">
        <v>264</v>
      </c>
      <c r="B210" s="6"/>
      <c r="C210" s="6" t="s">
        <v>189</v>
      </c>
      <c r="D210" s="11">
        <v>7600</v>
      </c>
      <c r="E210" s="14">
        <v>0</v>
      </c>
      <c r="F210" s="12"/>
    </row>
    <row r="211" spans="1:6" ht="20.25" thickTop="1" thickBot="1" x14ac:dyDescent="0.3">
      <c r="A211" s="6" t="s">
        <v>350</v>
      </c>
      <c r="B211" s="6"/>
      <c r="C211" s="6" t="s">
        <v>189</v>
      </c>
      <c r="D211" s="11">
        <v>5900</v>
      </c>
      <c r="E211" s="14"/>
      <c r="F211" s="12">
        <f t="shared" si="7"/>
        <v>0</v>
      </c>
    </row>
    <row r="212" spans="1:6" ht="22.5" thickTop="1" thickBot="1" x14ac:dyDescent="0.3">
      <c r="A212" s="51" t="s">
        <v>308</v>
      </c>
      <c r="B212" s="52"/>
      <c r="C212" s="52"/>
      <c r="D212" s="52"/>
      <c r="E212" s="52"/>
      <c r="F212" s="52"/>
    </row>
    <row r="213" spans="1:6" ht="20.25" thickTop="1" thickBot="1" x14ac:dyDescent="0.3">
      <c r="A213" s="6" t="s">
        <v>348</v>
      </c>
      <c r="B213" s="6"/>
      <c r="C213" s="6" t="s">
        <v>189</v>
      </c>
      <c r="D213" s="11">
        <v>11800</v>
      </c>
      <c r="E213" s="14"/>
      <c r="F213" s="12">
        <f t="shared" si="7"/>
        <v>0</v>
      </c>
    </row>
    <row r="214" spans="1:6" ht="39" thickTop="1" thickBot="1" x14ac:dyDescent="0.3">
      <c r="A214" s="6" t="s">
        <v>265</v>
      </c>
      <c r="B214" s="6"/>
      <c r="C214" s="6" t="s">
        <v>189</v>
      </c>
      <c r="D214" s="11">
        <v>8500</v>
      </c>
      <c r="E214" s="14"/>
      <c r="F214" s="12">
        <f t="shared" si="7"/>
        <v>0</v>
      </c>
    </row>
    <row r="215" spans="1:6" ht="39" thickTop="1" thickBot="1" x14ac:dyDescent="0.3">
      <c r="A215" s="6" t="s">
        <v>266</v>
      </c>
      <c r="B215" s="6"/>
      <c r="C215" s="6" t="s">
        <v>189</v>
      </c>
      <c r="D215" s="11">
        <v>9700</v>
      </c>
      <c r="E215" s="14"/>
      <c r="F215" s="12">
        <f t="shared" si="7"/>
        <v>0</v>
      </c>
    </row>
    <row r="216" spans="1:6" ht="39" thickTop="1" thickBot="1" x14ac:dyDescent="0.3">
      <c r="A216" s="6" t="s">
        <v>267</v>
      </c>
      <c r="B216" s="6"/>
      <c r="C216" s="6" t="s">
        <v>189</v>
      </c>
      <c r="D216" s="11">
        <v>10800</v>
      </c>
      <c r="E216" s="14"/>
      <c r="F216" s="12">
        <f t="shared" si="7"/>
        <v>0</v>
      </c>
    </row>
    <row r="217" spans="1:6" ht="22.5" thickTop="1" thickBot="1" x14ac:dyDescent="0.3">
      <c r="A217" s="51" t="s">
        <v>268</v>
      </c>
      <c r="B217" s="52"/>
      <c r="C217" s="52"/>
      <c r="D217" s="52"/>
      <c r="E217" s="52"/>
      <c r="F217" s="52"/>
    </row>
    <row r="218" spans="1:6" ht="20.25" thickTop="1" thickBot="1" x14ac:dyDescent="0.3">
      <c r="A218" s="6" t="s">
        <v>362</v>
      </c>
      <c r="B218" s="6"/>
      <c r="C218" s="6" t="s">
        <v>189</v>
      </c>
      <c r="D218" s="11">
        <v>12800</v>
      </c>
      <c r="E218" s="14"/>
      <c r="F218" s="13"/>
    </row>
    <row r="219" spans="1:6" ht="20.25" thickTop="1" thickBot="1" x14ac:dyDescent="0.3">
      <c r="A219" s="6" t="s">
        <v>349</v>
      </c>
      <c r="B219" s="6"/>
      <c r="C219" s="6" t="s">
        <v>189</v>
      </c>
      <c r="D219" s="11">
        <v>7230</v>
      </c>
      <c r="E219" s="14"/>
      <c r="F219" s="13"/>
    </row>
    <row r="220" spans="1:6" ht="20.25" thickTop="1" thickBot="1" x14ac:dyDescent="0.3">
      <c r="A220" s="6" t="s">
        <v>351</v>
      </c>
      <c r="B220" s="6"/>
      <c r="C220" s="6" t="s">
        <v>189</v>
      </c>
      <c r="D220" s="11">
        <v>8200</v>
      </c>
      <c r="E220" s="14"/>
      <c r="F220" s="13"/>
    </row>
    <row r="221" spans="1:6" ht="20.25" thickTop="1" thickBot="1" x14ac:dyDescent="0.3">
      <c r="A221" s="6" t="s">
        <v>352</v>
      </c>
      <c r="B221" s="6"/>
      <c r="C221" s="6" t="s">
        <v>189</v>
      </c>
      <c r="D221" s="11">
        <v>9200</v>
      </c>
      <c r="E221" s="14"/>
      <c r="F221" s="13"/>
    </row>
    <row r="222" spans="1:6" ht="20.25" thickTop="1" thickBot="1" x14ac:dyDescent="0.3">
      <c r="A222" s="6" t="s">
        <v>353</v>
      </c>
      <c r="B222" s="6"/>
      <c r="C222" s="6" t="s">
        <v>189</v>
      </c>
      <c r="D222" s="11">
        <v>13150</v>
      </c>
      <c r="E222" s="14"/>
      <c r="F222" s="13"/>
    </row>
    <row r="223" spans="1:6" ht="20.25" thickTop="1" thickBot="1" x14ac:dyDescent="0.3">
      <c r="A223" s="6" t="s">
        <v>361</v>
      </c>
      <c r="B223" s="6"/>
      <c r="C223" s="6" t="s">
        <v>189</v>
      </c>
      <c r="D223" s="11">
        <v>10600</v>
      </c>
      <c r="E223" s="14"/>
      <c r="F223" s="13"/>
    </row>
    <row r="224" spans="1:6" ht="22.5" thickTop="1" thickBot="1" x14ac:dyDescent="0.3">
      <c r="A224" s="51" t="s">
        <v>354</v>
      </c>
      <c r="B224" s="52"/>
      <c r="C224" s="52"/>
      <c r="D224" s="52"/>
      <c r="E224" s="52"/>
      <c r="F224" s="52"/>
    </row>
    <row r="225" spans="1:6" ht="20.25" thickTop="1" thickBot="1" x14ac:dyDescent="0.3">
      <c r="A225" s="6" t="s">
        <v>355</v>
      </c>
      <c r="B225" s="6"/>
      <c r="C225" s="6" t="s">
        <v>189</v>
      </c>
      <c r="D225" s="11">
        <v>15150</v>
      </c>
      <c r="E225" s="14"/>
      <c r="F225" s="13"/>
    </row>
    <row r="226" spans="1:6" ht="39" thickTop="1" thickBot="1" x14ac:dyDescent="0.3">
      <c r="A226" s="6" t="s">
        <v>356</v>
      </c>
      <c r="B226" s="6"/>
      <c r="C226" s="6" t="s">
        <v>189</v>
      </c>
      <c r="D226" s="11">
        <v>10445</v>
      </c>
      <c r="E226" s="14"/>
      <c r="F226" s="13"/>
    </row>
    <row r="227" spans="1:6" ht="20.25" thickTop="1" thickBot="1" x14ac:dyDescent="0.3">
      <c r="A227" s="6" t="s">
        <v>357</v>
      </c>
      <c r="B227" s="6"/>
      <c r="C227" s="6" t="s">
        <v>189</v>
      </c>
      <c r="D227" s="11">
        <v>11382</v>
      </c>
      <c r="E227" s="14"/>
      <c r="F227" s="13"/>
    </row>
    <row r="228" spans="1:6" ht="20.25" thickTop="1" thickBot="1" x14ac:dyDescent="0.3">
      <c r="A228" s="6" t="s">
        <v>358</v>
      </c>
      <c r="B228" s="6"/>
      <c r="C228" s="6" t="s">
        <v>189</v>
      </c>
      <c r="D228" s="11">
        <v>12446</v>
      </c>
      <c r="E228" s="14"/>
      <c r="F228" s="13"/>
    </row>
    <row r="229" spans="1:6" ht="20.25" thickTop="1" thickBot="1" x14ac:dyDescent="0.3">
      <c r="A229" s="6" t="s">
        <v>359</v>
      </c>
      <c r="B229" s="6"/>
      <c r="C229" s="6" t="s">
        <v>189</v>
      </c>
      <c r="D229" s="11">
        <v>16347</v>
      </c>
      <c r="E229" s="14"/>
      <c r="F229" s="13"/>
    </row>
    <row r="230" spans="1:6" ht="20.25" thickTop="1" thickBot="1" x14ac:dyDescent="0.3">
      <c r="A230" s="6" t="s">
        <v>360</v>
      </c>
      <c r="B230" s="6"/>
      <c r="C230" s="6" t="s">
        <v>189</v>
      </c>
      <c r="D230" s="11">
        <v>10600</v>
      </c>
      <c r="E230" s="14"/>
      <c r="F230" s="13"/>
    </row>
    <row r="231" spans="1:6" ht="18" customHeight="1" thickTop="1" thickBot="1" x14ac:dyDescent="0.3">
      <c r="A231" s="49" t="s">
        <v>50</v>
      </c>
      <c r="B231" s="50"/>
      <c r="C231" s="50"/>
      <c r="D231" s="50"/>
      <c r="E231" s="50"/>
      <c r="F231" s="55"/>
    </row>
    <row r="232" spans="1:6" ht="18" customHeight="1" thickTop="1" thickBot="1" x14ac:dyDescent="0.3">
      <c r="A232" s="51" t="s">
        <v>269</v>
      </c>
      <c r="B232" s="52"/>
      <c r="C232" s="52"/>
      <c r="D232" s="52"/>
      <c r="E232" s="52"/>
      <c r="F232" s="52"/>
    </row>
    <row r="233" spans="1:6" ht="18" customHeight="1" thickTop="1" thickBot="1" x14ac:dyDescent="0.3">
      <c r="A233" s="6" t="s">
        <v>79</v>
      </c>
      <c r="B233" s="6"/>
      <c r="C233" s="6" t="s">
        <v>189</v>
      </c>
      <c r="D233" s="11">
        <v>3650</v>
      </c>
      <c r="E233" s="14"/>
      <c r="F233" s="12">
        <f>D233*E233</f>
        <v>0</v>
      </c>
    </row>
    <row r="234" spans="1:6" ht="18" customHeight="1" thickTop="1" thickBot="1" x14ac:dyDescent="0.3">
      <c r="A234" s="6" t="s">
        <v>114</v>
      </c>
      <c r="B234" s="6"/>
      <c r="C234" s="6" t="s">
        <v>189</v>
      </c>
      <c r="D234" s="11">
        <v>1656</v>
      </c>
      <c r="E234" s="14"/>
      <c r="F234" s="12">
        <f>D234*E234</f>
        <v>0</v>
      </c>
    </row>
    <row r="235" spans="1:6" ht="18" customHeight="1" thickTop="1" thickBot="1" x14ac:dyDescent="0.3">
      <c r="A235" s="6" t="s">
        <v>115</v>
      </c>
      <c r="B235" s="6"/>
      <c r="C235" s="6" t="s">
        <v>189</v>
      </c>
      <c r="D235" s="11">
        <v>1910</v>
      </c>
      <c r="E235" s="14"/>
      <c r="F235" s="12">
        <f t="shared" ref="F235:F242" si="8">D235*E235</f>
        <v>0</v>
      </c>
    </row>
    <row r="236" spans="1:6" ht="18" customHeight="1" thickTop="1" thickBot="1" x14ac:dyDescent="0.3">
      <c r="A236" s="6" t="s">
        <v>116</v>
      </c>
      <c r="B236" s="6"/>
      <c r="C236" s="6" t="s">
        <v>189</v>
      </c>
      <c r="D236" s="11">
        <v>2250</v>
      </c>
      <c r="E236" s="14"/>
      <c r="F236" s="12">
        <f t="shared" si="8"/>
        <v>0</v>
      </c>
    </row>
    <row r="237" spans="1:6" ht="18" customHeight="1" thickTop="1" thickBot="1" x14ac:dyDescent="0.3">
      <c r="A237" s="6" t="s">
        <v>117</v>
      </c>
      <c r="B237" s="6"/>
      <c r="C237" s="6" t="s">
        <v>189</v>
      </c>
      <c r="D237" s="11">
        <v>2350</v>
      </c>
      <c r="E237" s="14"/>
      <c r="F237" s="12">
        <f t="shared" si="8"/>
        <v>0</v>
      </c>
    </row>
    <row r="238" spans="1:6" ht="18" customHeight="1" thickTop="1" thickBot="1" x14ac:dyDescent="0.3">
      <c r="A238" s="51" t="s">
        <v>363</v>
      </c>
      <c r="B238" s="52"/>
      <c r="C238" s="52"/>
      <c r="D238" s="52"/>
      <c r="E238" s="52"/>
      <c r="F238" s="52"/>
    </row>
    <row r="239" spans="1:6" ht="18" customHeight="1" thickTop="1" thickBot="1" x14ac:dyDescent="0.3">
      <c r="A239" s="6" t="s">
        <v>118</v>
      </c>
      <c r="B239" s="6"/>
      <c r="C239" s="6" t="s">
        <v>189</v>
      </c>
      <c r="D239" s="11"/>
      <c r="E239" s="14"/>
      <c r="F239" s="12">
        <f t="shared" si="8"/>
        <v>0</v>
      </c>
    </row>
    <row r="240" spans="1:6" ht="18" customHeight="1" thickTop="1" thickBot="1" x14ac:dyDescent="0.3">
      <c r="A240" s="6" t="s">
        <v>119</v>
      </c>
      <c r="B240" s="6"/>
      <c r="C240" s="6" t="s">
        <v>189</v>
      </c>
      <c r="D240" s="11"/>
      <c r="E240" s="14"/>
      <c r="F240" s="12">
        <f t="shared" si="8"/>
        <v>0</v>
      </c>
    </row>
    <row r="241" spans="1:6" ht="18" customHeight="1" thickTop="1" thickBot="1" x14ac:dyDescent="0.3">
      <c r="A241" s="6" t="s">
        <v>120</v>
      </c>
      <c r="B241" s="6"/>
      <c r="C241" s="6" t="s">
        <v>189</v>
      </c>
      <c r="D241" s="11"/>
      <c r="E241" s="14"/>
      <c r="F241" s="12">
        <f t="shared" si="8"/>
        <v>0</v>
      </c>
    </row>
    <row r="242" spans="1:6" ht="18" customHeight="1" thickTop="1" thickBot="1" x14ac:dyDescent="0.3">
      <c r="A242" s="6" t="s">
        <v>121</v>
      </c>
      <c r="B242" s="6"/>
      <c r="C242" s="6" t="s">
        <v>189</v>
      </c>
      <c r="D242" s="11"/>
      <c r="E242" s="14"/>
      <c r="F242" s="12">
        <f t="shared" si="8"/>
        <v>0</v>
      </c>
    </row>
    <row r="243" spans="1:6" ht="18" customHeight="1" thickTop="1" thickBot="1" x14ac:dyDescent="0.3">
      <c r="A243" s="63" t="s">
        <v>364</v>
      </c>
      <c r="B243" s="64"/>
      <c r="C243" s="64"/>
      <c r="D243" s="64"/>
      <c r="E243" s="64"/>
      <c r="F243" s="65"/>
    </row>
    <row r="244" spans="1:6" ht="18" customHeight="1" thickTop="1" thickBot="1" x14ac:dyDescent="0.3">
      <c r="A244" s="51" t="s">
        <v>303</v>
      </c>
      <c r="B244" s="52"/>
      <c r="C244" s="52"/>
      <c r="D244" s="52"/>
      <c r="E244" s="52"/>
      <c r="F244" s="52"/>
    </row>
    <row r="245" spans="1:6" ht="18" customHeight="1" thickTop="1" thickBot="1" x14ac:dyDescent="0.3">
      <c r="A245" s="6" t="s">
        <v>80</v>
      </c>
      <c r="B245" s="6"/>
      <c r="C245" s="6" t="s">
        <v>189</v>
      </c>
      <c r="D245" s="11">
        <v>3885</v>
      </c>
      <c r="E245" s="32"/>
      <c r="F245" s="12">
        <f>D245*E245</f>
        <v>0</v>
      </c>
    </row>
    <row r="246" spans="1:6" ht="18" customHeight="1" thickTop="1" thickBot="1" x14ac:dyDescent="0.3">
      <c r="A246" s="6" t="s">
        <v>81</v>
      </c>
      <c r="B246" s="6"/>
      <c r="C246" s="6" t="s">
        <v>189</v>
      </c>
      <c r="D246" s="11">
        <v>3885</v>
      </c>
      <c r="E246" s="32"/>
      <c r="F246" s="12">
        <f t="shared" ref="F246:F292" si="9">D246*E246</f>
        <v>0</v>
      </c>
    </row>
    <row r="247" spans="1:6" ht="18" customHeight="1" thickTop="1" thickBot="1" x14ac:dyDescent="0.3">
      <c r="A247" s="6" t="s">
        <v>82</v>
      </c>
      <c r="B247" s="6"/>
      <c r="C247" s="6" t="s">
        <v>189</v>
      </c>
      <c r="D247" s="11">
        <v>3885</v>
      </c>
      <c r="E247" s="32"/>
      <c r="F247" s="12">
        <f t="shared" si="9"/>
        <v>0</v>
      </c>
    </row>
    <row r="248" spans="1:6" ht="18" customHeight="1" thickTop="1" thickBot="1" x14ac:dyDescent="0.3">
      <c r="A248" s="6" t="s">
        <v>83</v>
      </c>
      <c r="B248" s="6"/>
      <c r="C248" s="6" t="s">
        <v>189</v>
      </c>
      <c r="D248" s="11">
        <v>3931</v>
      </c>
      <c r="E248" s="32"/>
      <c r="F248" s="12">
        <f t="shared" si="9"/>
        <v>0</v>
      </c>
    </row>
    <row r="249" spans="1:6" ht="18" customHeight="1" thickTop="1" thickBot="1" x14ac:dyDescent="0.3">
      <c r="A249" s="6" t="s">
        <v>84</v>
      </c>
      <c r="B249" s="6"/>
      <c r="C249" s="6" t="s">
        <v>189</v>
      </c>
      <c r="D249" s="11">
        <v>3979</v>
      </c>
      <c r="E249" s="32"/>
      <c r="F249" s="12">
        <f t="shared" si="9"/>
        <v>0</v>
      </c>
    </row>
    <row r="250" spans="1:6" ht="18" customHeight="1" thickTop="1" thickBot="1" x14ac:dyDescent="0.3">
      <c r="A250" s="6" t="s">
        <v>85</v>
      </c>
      <c r="B250" s="6"/>
      <c r="C250" s="6" t="s">
        <v>189</v>
      </c>
      <c r="D250" s="11">
        <v>4023</v>
      </c>
      <c r="E250" s="32"/>
      <c r="F250" s="12">
        <f t="shared" si="9"/>
        <v>0</v>
      </c>
    </row>
    <row r="251" spans="1:6" ht="18" customHeight="1" thickTop="1" thickBot="1" x14ac:dyDescent="0.3">
      <c r="A251" s="6" t="s">
        <v>86</v>
      </c>
      <c r="B251" s="6"/>
      <c r="C251" s="6" t="s">
        <v>189</v>
      </c>
      <c r="D251" s="11">
        <v>4196</v>
      </c>
      <c r="E251" s="32"/>
      <c r="F251" s="12">
        <f t="shared" si="9"/>
        <v>0</v>
      </c>
    </row>
    <row r="252" spans="1:6" ht="18" customHeight="1" thickTop="1" thickBot="1" x14ac:dyDescent="0.3">
      <c r="A252" s="51" t="s">
        <v>304</v>
      </c>
      <c r="B252" s="52"/>
      <c r="C252" s="52"/>
      <c r="D252" s="52"/>
      <c r="E252" s="52"/>
      <c r="F252" s="52"/>
    </row>
    <row r="253" spans="1:6" ht="18" customHeight="1" thickTop="1" thickBot="1" x14ac:dyDescent="0.3">
      <c r="A253" s="6" t="s">
        <v>88</v>
      </c>
      <c r="B253" s="6"/>
      <c r="C253" s="6" t="s">
        <v>189</v>
      </c>
      <c r="D253" s="11">
        <v>4183</v>
      </c>
      <c r="E253" s="32"/>
      <c r="F253" s="12">
        <f t="shared" si="9"/>
        <v>0</v>
      </c>
    </row>
    <row r="254" spans="1:6" ht="18" customHeight="1" thickTop="1" thickBot="1" x14ac:dyDescent="0.3">
      <c r="A254" s="6" t="s">
        <v>89</v>
      </c>
      <c r="B254" s="6"/>
      <c r="C254" s="6" t="s">
        <v>189</v>
      </c>
      <c r="D254" s="11">
        <v>4183</v>
      </c>
      <c r="E254" s="32"/>
      <c r="F254" s="12">
        <f t="shared" si="9"/>
        <v>0</v>
      </c>
    </row>
    <row r="255" spans="1:6" ht="18" customHeight="1" thickTop="1" thickBot="1" x14ac:dyDescent="0.3">
      <c r="A255" s="6" t="s">
        <v>90</v>
      </c>
      <c r="B255" s="6"/>
      <c r="C255" s="6" t="s">
        <v>189</v>
      </c>
      <c r="D255" s="11">
        <v>4183</v>
      </c>
      <c r="E255" s="32"/>
      <c r="F255" s="12">
        <f t="shared" si="9"/>
        <v>0</v>
      </c>
    </row>
    <row r="256" spans="1:6" ht="18" customHeight="1" thickTop="1" thickBot="1" x14ac:dyDescent="0.3">
      <c r="A256" s="6" t="s">
        <v>91</v>
      </c>
      <c r="B256" s="6"/>
      <c r="C256" s="6" t="s">
        <v>189</v>
      </c>
      <c r="D256" s="11">
        <v>4232</v>
      </c>
      <c r="E256" s="32"/>
      <c r="F256" s="12">
        <f t="shared" si="9"/>
        <v>0</v>
      </c>
    </row>
    <row r="257" spans="1:6" ht="18" customHeight="1" thickTop="1" thickBot="1" x14ac:dyDescent="0.3">
      <c r="A257" s="6" t="s">
        <v>92</v>
      </c>
      <c r="B257" s="6"/>
      <c r="C257" s="6" t="s">
        <v>189</v>
      </c>
      <c r="D257" s="11">
        <v>4279</v>
      </c>
      <c r="E257" s="32"/>
      <c r="F257" s="12">
        <f t="shared" si="9"/>
        <v>0</v>
      </c>
    </row>
    <row r="258" spans="1:6" ht="18" customHeight="1" thickTop="1" thickBot="1" x14ac:dyDescent="0.3">
      <c r="A258" s="6" t="s">
        <v>93</v>
      </c>
      <c r="B258" s="6"/>
      <c r="C258" s="6" t="s">
        <v>189</v>
      </c>
      <c r="D258" s="11">
        <v>4325</v>
      </c>
      <c r="E258" s="32"/>
      <c r="F258" s="12">
        <f t="shared" si="9"/>
        <v>0</v>
      </c>
    </row>
    <row r="259" spans="1:6" ht="18" customHeight="1" thickTop="1" thickBot="1" x14ac:dyDescent="0.3">
      <c r="A259" s="6" t="s">
        <v>87</v>
      </c>
      <c r="B259" s="6"/>
      <c r="C259" s="6" t="s">
        <v>189</v>
      </c>
      <c r="D259" s="11">
        <v>4496</v>
      </c>
      <c r="E259" s="32"/>
      <c r="F259" s="12">
        <f t="shared" si="9"/>
        <v>0</v>
      </c>
    </row>
    <row r="260" spans="1:6" ht="18" customHeight="1" thickTop="1" thickBot="1" x14ac:dyDescent="0.3">
      <c r="A260" s="6" t="s">
        <v>365</v>
      </c>
      <c r="B260" s="6"/>
      <c r="C260" s="6" t="s">
        <v>189</v>
      </c>
      <c r="D260" s="11">
        <v>478</v>
      </c>
      <c r="E260" s="32"/>
      <c r="F260" s="12">
        <f t="shared" si="9"/>
        <v>0</v>
      </c>
    </row>
    <row r="261" spans="1:6" ht="18" customHeight="1" thickTop="1" thickBot="1" x14ac:dyDescent="0.3">
      <c r="A261" s="51" t="s">
        <v>305</v>
      </c>
      <c r="B261" s="52"/>
      <c r="C261" s="52"/>
      <c r="D261" s="52"/>
      <c r="E261" s="52"/>
      <c r="F261" s="52"/>
    </row>
    <row r="262" spans="1:6" ht="18" customHeight="1" thickTop="1" thickBot="1" x14ac:dyDescent="0.3">
      <c r="A262" s="6" t="s">
        <v>94</v>
      </c>
      <c r="B262" s="6"/>
      <c r="C262" s="6" t="s">
        <v>189</v>
      </c>
      <c r="D262" s="11">
        <v>4738</v>
      </c>
      <c r="E262" s="32"/>
      <c r="F262" s="12">
        <f t="shared" si="9"/>
        <v>0</v>
      </c>
    </row>
    <row r="263" spans="1:6" ht="18" customHeight="1" thickTop="1" thickBot="1" x14ac:dyDescent="0.3">
      <c r="A263" s="6" t="s">
        <v>95</v>
      </c>
      <c r="B263" s="6"/>
      <c r="C263" s="6" t="s">
        <v>189</v>
      </c>
      <c r="D263" s="11">
        <v>4738</v>
      </c>
      <c r="E263" s="32"/>
      <c r="F263" s="12">
        <f t="shared" si="9"/>
        <v>0</v>
      </c>
    </row>
    <row r="264" spans="1:6" ht="18" customHeight="1" thickTop="1" thickBot="1" x14ac:dyDescent="0.3">
      <c r="A264" s="6" t="s">
        <v>96</v>
      </c>
      <c r="B264" s="6"/>
      <c r="C264" s="6" t="s">
        <v>189</v>
      </c>
      <c r="D264" s="11">
        <v>4738</v>
      </c>
      <c r="E264" s="32"/>
      <c r="F264" s="12">
        <f t="shared" si="9"/>
        <v>0</v>
      </c>
    </row>
    <row r="265" spans="1:6" ht="18" customHeight="1" thickTop="1" thickBot="1" x14ac:dyDescent="0.3">
      <c r="A265" s="6" t="s">
        <v>97</v>
      </c>
      <c r="B265" s="6"/>
      <c r="C265" s="6" t="s">
        <v>189</v>
      </c>
      <c r="D265" s="11">
        <v>4786</v>
      </c>
      <c r="E265" s="32"/>
      <c r="F265" s="12">
        <f t="shared" si="9"/>
        <v>0</v>
      </c>
    </row>
    <row r="266" spans="1:6" ht="18" customHeight="1" thickTop="1" thickBot="1" x14ac:dyDescent="0.3">
      <c r="A266" s="6" t="s">
        <v>98</v>
      </c>
      <c r="B266" s="6"/>
      <c r="C266" s="6" t="s">
        <v>189</v>
      </c>
      <c r="D266" s="11">
        <v>4834</v>
      </c>
      <c r="E266" s="32"/>
      <c r="F266" s="12">
        <f t="shared" si="9"/>
        <v>0</v>
      </c>
    </row>
    <row r="267" spans="1:6" ht="18" customHeight="1" thickTop="1" thickBot="1" x14ac:dyDescent="0.3">
      <c r="A267" s="6" t="s">
        <v>99</v>
      </c>
      <c r="B267" s="6"/>
      <c r="C267" s="6" t="s">
        <v>189</v>
      </c>
      <c r="D267" s="11">
        <v>4883</v>
      </c>
      <c r="E267" s="32"/>
      <c r="F267" s="12">
        <f t="shared" si="9"/>
        <v>0</v>
      </c>
    </row>
    <row r="268" spans="1:6" ht="18.600000000000001" customHeight="1" thickTop="1" thickBot="1" x14ac:dyDescent="0.3">
      <c r="A268" s="6" t="s">
        <v>100</v>
      </c>
      <c r="B268" s="6"/>
      <c r="C268" s="6" t="s">
        <v>189</v>
      </c>
      <c r="D268" s="11">
        <v>5138</v>
      </c>
      <c r="E268" s="32"/>
      <c r="F268" s="12">
        <f t="shared" si="9"/>
        <v>0</v>
      </c>
    </row>
    <row r="269" spans="1:6" ht="18.600000000000001" customHeight="1" thickTop="1" thickBot="1" x14ac:dyDescent="0.3">
      <c r="A269" s="6" t="s">
        <v>101</v>
      </c>
      <c r="B269" s="6"/>
      <c r="C269" s="6" t="s">
        <v>189</v>
      </c>
      <c r="D269" s="11">
        <v>5471</v>
      </c>
      <c r="E269" s="32"/>
      <c r="F269" s="12">
        <f t="shared" si="9"/>
        <v>0</v>
      </c>
    </row>
    <row r="270" spans="1:6" ht="18.600000000000001" customHeight="1" thickTop="1" thickBot="1" x14ac:dyDescent="0.3">
      <c r="A270" s="51" t="s">
        <v>306</v>
      </c>
      <c r="B270" s="52"/>
      <c r="C270" s="52"/>
      <c r="D270" s="52"/>
      <c r="E270" s="52"/>
      <c r="F270" s="52"/>
    </row>
    <row r="271" spans="1:6" ht="25.5" customHeight="1" thickTop="1" thickBot="1" x14ac:dyDescent="0.3">
      <c r="A271" s="6" t="s">
        <v>366</v>
      </c>
      <c r="B271" s="6"/>
      <c r="C271" s="6" t="s">
        <v>189</v>
      </c>
      <c r="D271" s="11">
        <v>8000</v>
      </c>
      <c r="E271" s="32"/>
      <c r="F271" s="12">
        <f t="shared" si="9"/>
        <v>0</v>
      </c>
    </row>
    <row r="272" spans="1:6" ht="33" customHeight="1" thickTop="1" thickBot="1" x14ac:dyDescent="0.3">
      <c r="A272" s="6" t="s">
        <v>102</v>
      </c>
      <c r="B272" s="6"/>
      <c r="C272" s="6" t="s">
        <v>189</v>
      </c>
      <c r="D272" s="11">
        <v>8000</v>
      </c>
      <c r="E272" s="32"/>
      <c r="F272" s="12">
        <f t="shared" si="9"/>
        <v>0</v>
      </c>
    </row>
    <row r="273" spans="1:6" ht="27.75" customHeight="1" thickTop="1" thickBot="1" x14ac:dyDescent="0.3">
      <c r="A273" s="6" t="s">
        <v>103</v>
      </c>
      <c r="B273" s="6"/>
      <c r="C273" s="6" t="s">
        <v>189</v>
      </c>
      <c r="D273" s="11">
        <v>8000</v>
      </c>
      <c r="E273" s="32"/>
      <c r="F273" s="12">
        <f t="shared" si="9"/>
        <v>0</v>
      </c>
    </row>
    <row r="274" spans="1:6" ht="23.25" customHeight="1" thickTop="1" thickBot="1" x14ac:dyDescent="0.3">
      <c r="A274" s="6" t="s">
        <v>104</v>
      </c>
      <c r="B274" s="6"/>
      <c r="C274" s="6" t="s">
        <v>189</v>
      </c>
      <c r="D274" s="11">
        <v>8000</v>
      </c>
      <c r="E274" s="32"/>
      <c r="F274" s="12">
        <f t="shared" si="9"/>
        <v>0</v>
      </c>
    </row>
    <row r="275" spans="1:6" ht="27" customHeight="1" thickTop="1" thickBot="1" x14ac:dyDescent="0.3">
      <c r="A275" s="6" t="s">
        <v>105</v>
      </c>
      <c r="B275" s="6"/>
      <c r="C275" s="6" t="s">
        <v>189</v>
      </c>
      <c r="D275" s="11">
        <v>8000</v>
      </c>
      <c r="E275" s="32"/>
      <c r="F275" s="12">
        <f t="shared" si="9"/>
        <v>0</v>
      </c>
    </row>
    <row r="276" spans="1:6" ht="23.25" customHeight="1" thickTop="1" thickBot="1" x14ac:dyDescent="0.3">
      <c r="A276" s="6" t="s">
        <v>106</v>
      </c>
      <c r="B276" s="6"/>
      <c r="C276" s="6" t="s">
        <v>189</v>
      </c>
      <c r="D276" s="11">
        <v>8000</v>
      </c>
      <c r="E276" s="32"/>
      <c r="F276" s="12">
        <f t="shared" si="9"/>
        <v>0</v>
      </c>
    </row>
    <row r="277" spans="1:6" ht="22.5" customHeight="1" thickTop="1" thickBot="1" x14ac:dyDescent="0.3">
      <c r="A277" s="6" t="s">
        <v>107</v>
      </c>
      <c r="B277" s="6"/>
      <c r="C277" s="6" t="s">
        <v>189</v>
      </c>
      <c r="D277" s="11">
        <v>8200</v>
      </c>
      <c r="E277" s="32"/>
      <c r="F277" s="12">
        <f t="shared" si="9"/>
        <v>0</v>
      </c>
    </row>
    <row r="278" spans="1:6" ht="22.5" thickTop="1" thickBot="1" x14ac:dyDescent="0.3">
      <c r="A278" s="63" t="s">
        <v>51</v>
      </c>
      <c r="B278" s="64"/>
      <c r="C278" s="64"/>
      <c r="D278" s="64"/>
      <c r="E278" s="64"/>
      <c r="F278" s="65"/>
    </row>
    <row r="279" spans="1:6" ht="22.5" thickTop="1" thickBot="1" x14ac:dyDescent="0.3">
      <c r="A279" s="51" t="s">
        <v>369</v>
      </c>
      <c r="B279" s="52"/>
      <c r="C279" s="52"/>
      <c r="D279" s="52"/>
      <c r="E279" s="52"/>
      <c r="F279" s="52"/>
    </row>
    <row r="280" spans="1:6" ht="39" thickTop="1" thickBot="1" x14ac:dyDescent="0.3">
      <c r="A280" s="6" t="s">
        <v>368</v>
      </c>
      <c r="B280" s="6"/>
      <c r="C280" s="6" t="s">
        <v>189</v>
      </c>
      <c r="D280" s="11">
        <v>550</v>
      </c>
      <c r="E280" s="32"/>
      <c r="F280" s="12">
        <f>D280*E280</f>
        <v>0</v>
      </c>
    </row>
    <row r="281" spans="1:6" ht="20.25" thickTop="1" thickBot="1" x14ac:dyDescent="0.3">
      <c r="A281" s="6" t="s">
        <v>149</v>
      </c>
      <c r="B281" s="6"/>
      <c r="C281" s="6" t="s">
        <v>189</v>
      </c>
      <c r="D281" s="11">
        <v>825</v>
      </c>
      <c r="E281" s="32"/>
      <c r="F281" s="12">
        <f t="shared" si="9"/>
        <v>0</v>
      </c>
    </row>
    <row r="282" spans="1:6" ht="20.25" thickTop="1" thickBot="1" x14ac:dyDescent="0.3">
      <c r="A282" s="6" t="s">
        <v>151</v>
      </c>
      <c r="B282" s="6"/>
      <c r="C282" s="6" t="s">
        <v>189</v>
      </c>
      <c r="D282" s="11">
        <v>880</v>
      </c>
      <c r="E282" s="32"/>
      <c r="F282" s="12">
        <f t="shared" si="9"/>
        <v>0</v>
      </c>
    </row>
    <row r="283" spans="1:6" ht="20.25" thickTop="1" thickBot="1" x14ac:dyDescent="0.3">
      <c r="A283" s="6" t="s">
        <v>150</v>
      </c>
      <c r="B283" s="6"/>
      <c r="C283" s="6" t="s">
        <v>189</v>
      </c>
      <c r="D283" s="11">
        <v>931</v>
      </c>
      <c r="E283" s="32"/>
      <c r="F283" s="12">
        <f t="shared" si="9"/>
        <v>0</v>
      </c>
    </row>
    <row r="284" spans="1:6" ht="20.25" thickTop="1" thickBot="1" x14ac:dyDescent="0.3">
      <c r="A284" s="6" t="s">
        <v>152</v>
      </c>
      <c r="B284" s="6"/>
      <c r="C284" s="6" t="s">
        <v>189</v>
      </c>
      <c r="D284" s="11">
        <v>980</v>
      </c>
      <c r="E284" s="32">
        <v>6</v>
      </c>
      <c r="F284" s="12">
        <f t="shared" si="9"/>
        <v>5880</v>
      </c>
    </row>
    <row r="285" spans="1:6" ht="20.25" thickTop="1" thickBot="1" x14ac:dyDescent="0.3">
      <c r="A285" s="6" t="s">
        <v>153</v>
      </c>
      <c r="B285" s="6"/>
      <c r="C285" s="6" t="s">
        <v>189</v>
      </c>
      <c r="D285" s="11">
        <v>1045</v>
      </c>
      <c r="E285" s="32">
        <v>0</v>
      </c>
      <c r="F285" s="12">
        <f t="shared" si="9"/>
        <v>0</v>
      </c>
    </row>
    <row r="286" spans="1:6" ht="39" thickTop="1" thickBot="1" x14ac:dyDescent="0.3">
      <c r="A286" s="6" t="s">
        <v>367</v>
      </c>
      <c r="B286" s="6"/>
      <c r="C286" s="6" t="s">
        <v>189</v>
      </c>
      <c r="D286" s="11">
        <v>900</v>
      </c>
      <c r="E286" s="32"/>
      <c r="F286" s="12">
        <f t="shared" si="9"/>
        <v>0</v>
      </c>
    </row>
    <row r="287" spans="1:6" ht="22.5" thickTop="1" thickBot="1" x14ac:dyDescent="0.3">
      <c r="A287" s="51" t="s">
        <v>370</v>
      </c>
      <c r="B287" s="52"/>
      <c r="C287" s="52"/>
      <c r="D287" s="52"/>
      <c r="E287" s="52"/>
      <c r="F287" s="52"/>
    </row>
    <row r="288" spans="1:6" ht="20.25" thickTop="1" thickBot="1" x14ac:dyDescent="0.3">
      <c r="A288" s="6" t="s">
        <v>122</v>
      </c>
      <c r="B288" s="6"/>
      <c r="C288" s="6" t="s">
        <v>189</v>
      </c>
      <c r="D288" s="11">
        <v>849</v>
      </c>
      <c r="E288" s="32"/>
      <c r="F288" s="12">
        <f t="shared" si="9"/>
        <v>0</v>
      </c>
    </row>
    <row r="289" spans="1:6" ht="20.25" thickTop="1" thickBot="1" x14ac:dyDescent="0.3">
      <c r="A289" s="6" t="s">
        <v>123</v>
      </c>
      <c r="B289" s="6"/>
      <c r="C289" s="6" t="s">
        <v>189</v>
      </c>
      <c r="D289" s="11">
        <v>928</v>
      </c>
      <c r="E289" s="32"/>
      <c r="F289" s="12">
        <f t="shared" si="9"/>
        <v>0</v>
      </c>
    </row>
    <row r="290" spans="1:6" ht="20.25" thickTop="1" thickBot="1" x14ac:dyDescent="0.3">
      <c r="A290" s="6" t="s">
        <v>124</v>
      </c>
      <c r="B290" s="6"/>
      <c r="C290" s="6" t="s">
        <v>189</v>
      </c>
      <c r="D290" s="11">
        <v>990</v>
      </c>
      <c r="E290" s="32"/>
      <c r="F290" s="12">
        <f t="shared" si="9"/>
        <v>0</v>
      </c>
    </row>
    <row r="291" spans="1:6" ht="20.25" thickTop="1" thickBot="1" x14ac:dyDescent="0.3">
      <c r="A291" s="6" t="s">
        <v>125</v>
      </c>
      <c r="B291" s="6"/>
      <c r="C291" s="6" t="s">
        <v>189</v>
      </c>
      <c r="D291" s="11">
        <v>1050</v>
      </c>
      <c r="E291" s="32"/>
      <c r="F291" s="12">
        <f t="shared" si="9"/>
        <v>0</v>
      </c>
    </row>
    <row r="292" spans="1:6" ht="20.25" thickTop="1" thickBot="1" x14ac:dyDescent="0.3">
      <c r="A292" s="6" t="s">
        <v>126</v>
      </c>
      <c r="B292" s="6"/>
      <c r="C292" s="6" t="s">
        <v>189</v>
      </c>
      <c r="D292" s="11">
        <v>1135</v>
      </c>
      <c r="E292" s="32"/>
      <c r="F292" s="12">
        <f t="shared" si="9"/>
        <v>0</v>
      </c>
    </row>
    <row r="293" spans="1:6" ht="22.5" thickTop="1" thickBot="1" x14ac:dyDescent="0.3">
      <c r="A293" s="63" t="s">
        <v>371</v>
      </c>
      <c r="B293" s="64"/>
      <c r="C293" s="64"/>
      <c r="D293" s="64"/>
      <c r="E293" s="64"/>
      <c r="F293" s="65"/>
    </row>
    <row r="294" spans="1:6" ht="39" thickTop="1" thickBot="1" x14ac:dyDescent="0.3">
      <c r="A294" s="6" t="s">
        <v>154</v>
      </c>
      <c r="B294" s="6"/>
      <c r="C294" s="6" t="s">
        <v>189</v>
      </c>
      <c r="D294" s="11">
        <v>9526</v>
      </c>
      <c r="E294" s="28"/>
      <c r="F294" s="12">
        <f t="shared" ref="F294:F302" si="10">D294*E294</f>
        <v>0</v>
      </c>
    </row>
    <row r="295" spans="1:6" ht="39" thickTop="1" thickBot="1" x14ac:dyDescent="0.3">
      <c r="A295" s="6" t="s">
        <v>155</v>
      </c>
      <c r="B295" s="6"/>
      <c r="C295" s="6" t="s">
        <v>189</v>
      </c>
      <c r="D295" s="11">
        <v>10557</v>
      </c>
      <c r="E295" s="28"/>
      <c r="F295" s="12">
        <f t="shared" si="10"/>
        <v>0</v>
      </c>
    </row>
    <row r="296" spans="1:6" ht="20.25" thickTop="1" thickBot="1" x14ac:dyDescent="0.3">
      <c r="A296" s="3" t="s">
        <v>372</v>
      </c>
      <c r="B296" s="3"/>
      <c r="C296" s="6" t="s">
        <v>189</v>
      </c>
      <c r="D296" s="11">
        <v>6450</v>
      </c>
      <c r="E296" s="28"/>
      <c r="F296" s="12">
        <f t="shared" si="10"/>
        <v>0</v>
      </c>
    </row>
    <row r="297" spans="1:6" ht="39" thickTop="1" thickBot="1" x14ac:dyDescent="0.3">
      <c r="A297" s="6" t="s">
        <v>373</v>
      </c>
      <c r="B297" s="6"/>
      <c r="C297" s="6" t="s">
        <v>189</v>
      </c>
      <c r="D297" s="11">
        <v>7370</v>
      </c>
      <c r="E297" s="28"/>
      <c r="F297" s="12">
        <f t="shared" si="10"/>
        <v>0</v>
      </c>
    </row>
    <row r="298" spans="1:6" ht="20.25" thickTop="1" thickBot="1" x14ac:dyDescent="0.3">
      <c r="A298" s="3" t="s">
        <v>374</v>
      </c>
      <c r="B298" s="6"/>
      <c r="C298" s="6" t="s">
        <v>189</v>
      </c>
      <c r="D298" s="11">
        <v>3000</v>
      </c>
      <c r="E298" s="28"/>
      <c r="F298" s="12">
        <f t="shared" si="10"/>
        <v>0</v>
      </c>
    </row>
    <row r="299" spans="1:6" ht="20.25" thickTop="1" thickBot="1" x14ac:dyDescent="0.3">
      <c r="A299" s="3" t="s">
        <v>375</v>
      </c>
      <c r="B299" s="6"/>
      <c r="C299" s="6" t="s">
        <v>189</v>
      </c>
      <c r="D299" s="11">
        <v>3550</v>
      </c>
      <c r="E299" s="28"/>
      <c r="F299" s="12"/>
    </row>
    <row r="300" spans="1:6" ht="20.25" thickTop="1" thickBot="1" x14ac:dyDescent="0.3">
      <c r="A300" s="6" t="s">
        <v>156</v>
      </c>
      <c r="B300" s="6"/>
      <c r="C300" s="6" t="s">
        <v>260</v>
      </c>
      <c r="D300" s="11">
        <v>4929</v>
      </c>
      <c r="E300" s="28"/>
      <c r="F300" s="12">
        <f t="shared" si="10"/>
        <v>0</v>
      </c>
    </row>
    <row r="301" spans="1:6" ht="20.25" thickTop="1" thickBot="1" x14ac:dyDescent="0.3">
      <c r="A301" s="6" t="s">
        <v>157</v>
      </c>
      <c r="B301" s="6"/>
      <c r="C301" s="6" t="s">
        <v>260</v>
      </c>
      <c r="D301" s="11">
        <v>5380</v>
      </c>
      <c r="E301" s="28"/>
      <c r="F301" s="12">
        <f t="shared" si="10"/>
        <v>0</v>
      </c>
    </row>
    <row r="302" spans="1:6" ht="20.25" thickTop="1" thickBot="1" x14ac:dyDescent="0.3">
      <c r="A302" s="6" t="s">
        <v>158</v>
      </c>
      <c r="B302" s="6"/>
      <c r="C302" s="6" t="s">
        <v>260</v>
      </c>
      <c r="D302" s="11">
        <v>7208</v>
      </c>
      <c r="E302" s="28"/>
      <c r="F302" s="12">
        <f t="shared" si="10"/>
        <v>0</v>
      </c>
    </row>
    <row r="303" spans="1:6" ht="22.5" thickTop="1" thickBot="1" x14ac:dyDescent="0.3">
      <c r="A303" s="58" t="s">
        <v>52</v>
      </c>
      <c r="B303" s="59"/>
      <c r="C303" s="59"/>
      <c r="D303" s="59"/>
      <c r="E303" s="59"/>
      <c r="F303" s="60"/>
    </row>
    <row r="304" spans="1:6" ht="20.25" thickTop="1" thickBot="1" x14ac:dyDescent="0.3">
      <c r="A304" s="6" t="s">
        <v>175</v>
      </c>
      <c r="B304" s="6"/>
      <c r="C304" s="6" t="s">
        <v>189</v>
      </c>
      <c r="D304" s="11">
        <v>1835</v>
      </c>
      <c r="E304" s="14"/>
      <c r="F304" s="12">
        <f t="shared" ref="F304:F312" si="11">D304*E304</f>
        <v>0</v>
      </c>
    </row>
    <row r="305" spans="1:6" ht="20.25" thickTop="1" thickBot="1" x14ac:dyDescent="0.3">
      <c r="A305" s="6" t="s">
        <v>173</v>
      </c>
      <c r="B305" s="6"/>
      <c r="C305" s="6" t="s">
        <v>189</v>
      </c>
      <c r="D305" s="11">
        <v>1860</v>
      </c>
      <c r="E305" s="14">
        <v>0</v>
      </c>
      <c r="F305" s="12">
        <f t="shared" si="11"/>
        <v>0</v>
      </c>
    </row>
    <row r="306" spans="1:6" ht="20.25" thickTop="1" thickBot="1" x14ac:dyDescent="0.3">
      <c r="A306" s="6" t="s">
        <v>174</v>
      </c>
      <c r="B306" s="6"/>
      <c r="C306" s="6" t="s">
        <v>189</v>
      </c>
      <c r="D306" s="11">
        <v>3550</v>
      </c>
      <c r="E306" s="14"/>
      <c r="F306" s="12">
        <f t="shared" si="11"/>
        <v>0</v>
      </c>
    </row>
    <row r="307" spans="1:6" ht="20.25" thickTop="1" thickBot="1" x14ac:dyDescent="0.3">
      <c r="A307" s="6" t="s">
        <v>172</v>
      </c>
      <c r="B307" s="6"/>
      <c r="C307" s="6" t="s">
        <v>189</v>
      </c>
      <c r="D307" s="11">
        <v>769</v>
      </c>
      <c r="E307" s="14"/>
      <c r="F307" s="12">
        <f t="shared" si="11"/>
        <v>0</v>
      </c>
    </row>
    <row r="308" spans="1:6" ht="20.25" thickTop="1" thickBot="1" x14ac:dyDescent="0.3">
      <c r="A308" s="6" t="s">
        <v>171</v>
      </c>
      <c r="B308" s="6"/>
      <c r="C308" s="6" t="s">
        <v>189</v>
      </c>
      <c r="D308" s="11">
        <v>1500</v>
      </c>
      <c r="E308" s="14">
        <v>0</v>
      </c>
      <c r="F308" s="12">
        <f>D308*E308</f>
        <v>0</v>
      </c>
    </row>
    <row r="309" spans="1:6" ht="39" thickTop="1" thickBot="1" x14ac:dyDescent="0.3">
      <c r="A309" s="6" t="s">
        <v>376</v>
      </c>
      <c r="B309" s="6"/>
      <c r="C309" s="6" t="s">
        <v>189</v>
      </c>
      <c r="D309" s="11"/>
      <c r="E309" s="14"/>
      <c r="F309" s="12"/>
    </row>
    <row r="310" spans="1:6" ht="39" thickTop="1" thickBot="1" x14ac:dyDescent="0.3">
      <c r="A310" s="6" t="s">
        <v>377</v>
      </c>
      <c r="B310" s="6"/>
      <c r="C310" s="6" t="s">
        <v>189</v>
      </c>
      <c r="D310" s="11"/>
      <c r="E310" s="14"/>
      <c r="F310" s="12"/>
    </row>
    <row r="311" spans="1:6" ht="39" thickTop="1" thickBot="1" x14ac:dyDescent="0.3">
      <c r="A311" s="6" t="s">
        <v>378</v>
      </c>
      <c r="B311" s="6"/>
      <c r="C311" s="6" t="s">
        <v>189</v>
      </c>
      <c r="D311" s="11"/>
      <c r="E311" s="14"/>
      <c r="F311" s="12"/>
    </row>
    <row r="312" spans="1:6" ht="39" thickTop="1" thickBot="1" x14ac:dyDescent="0.3">
      <c r="A312" s="6" t="s">
        <v>379</v>
      </c>
      <c r="B312" s="6"/>
      <c r="C312" s="6" t="s">
        <v>189</v>
      </c>
      <c r="D312" s="11">
        <v>1318</v>
      </c>
      <c r="E312" s="14"/>
      <c r="F312" s="12">
        <f t="shared" si="11"/>
        <v>0</v>
      </c>
    </row>
    <row r="313" spans="1:6" ht="22.5" thickTop="1" thickBot="1" x14ac:dyDescent="0.3">
      <c r="A313" s="58" t="s">
        <v>309</v>
      </c>
      <c r="B313" s="59"/>
      <c r="C313" s="59"/>
      <c r="D313" s="59"/>
      <c r="E313" s="59"/>
      <c r="F313" s="60"/>
    </row>
    <row r="314" spans="1:6" ht="20.25" thickTop="1" thickBot="1" x14ac:dyDescent="0.3">
      <c r="A314" s="6" t="s">
        <v>159</v>
      </c>
      <c r="B314" s="6"/>
      <c r="C314" s="6"/>
      <c r="D314" s="11">
        <v>4250</v>
      </c>
      <c r="E314" s="28"/>
      <c r="F314" s="12">
        <f>D314*E314</f>
        <v>0</v>
      </c>
    </row>
    <row r="315" spans="1:6" ht="20.25" thickTop="1" thickBot="1" x14ac:dyDescent="0.3">
      <c r="A315" s="6" t="s">
        <v>160</v>
      </c>
      <c r="B315" s="6"/>
      <c r="C315" s="6"/>
      <c r="D315" s="11">
        <v>2000</v>
      </c>
      <c r="E315" s="28"/>
      <c r="F315" s="12">
        <f>D315*E315</f>
        <v>0</v>
      </c>
    </row>
    <row r="316" spans="1:6" ht="39" thickTop="1" thickBot="1" x14ac:dyDescent="0.3">
      <c r="A316" s="6" t="s">
        <v>170</v>
      </c>
      <c r="B316" s="6"/>
      <c r="C316" s="6"/>
      <c r="D316" s="11"/>
      <c r="E316" s="28"/>
      <c r="F316" s="12">
        <f>D316*E316</f>
        <v>0</v>
      </c>
    </row>
    <row r="317" spans="1:6" ht="20.25" thickTop="1" thickBot="1" x14ac:dyDescent="0.3">
      <c r="A317" s="6" t="s">
        <v>161</v>
      </c>
      <c r="B317" s="6"/>
      <c r="C317" s="6"/>
      <c r="D317" s="11">
        <v>2230</v>
      </c>
      <c r="E317" s="28"/>
      <c r="F317" s="12">
        <f>D317*E317</f>
        <v>0</v>
      </c>
    </row>
    <row r="318" spans="1:6" ht="22.5" thickTop="1" thickBot="1" x14ac:dyDescent="0.3">
      <c r="A318" s="63" t="s">
        <v>38</v>
      </c>
      <c r="B318" s="64"/>
      <c r="C318" s="64"/>
      <c r="D318" s="64"/>
      <c r="E318" s="64"/>
      <c r="F318" s="65"/>
    </row>
    <row r="319" spans="1:6" ht="39" thickTop="1" thickBot="1" x14ac:dyDescent="0.3">
      <c r="A319" s="6" t="s">
        <v>146</v>
      </c>
      <c r="B319" s="6"/>
      <c r="C319" s="6"/>
      <c r="D319" s="11">
        <v>13930</v>
      </c>
      <c r="E319" s="28"/>
      <c r="F319" s="12">
        <f>D319*E319</f>
        <v>0</v>
      </c>
    </row>
    <row r="320" spans="1:6" ht="39" thickTop="1" thickBot="1" x14ac:dyDescent="0.3">
      <c r="A320" s="6" t="s">
        <v>147</v>
      </c>
      <c r="B320" s="6"/>
      <c r="C320" s="6"/>
      <c r="D320" s="11">
        <v>6441</v>
      </c>
      <c r="E320" s="28"/>
      <c r="F320" s="12">
        <f>D320*E320</f>
        <v>0</v>
      </c>
    </row>
    <row r="321" spans="1:6" ht="39" thickTop="1" thickBot="1" x14ac:dyDescent="0.3">
      <c r="A321" s="6" t="s">
        <v>148</v>
      </c>
      <c r="B321" s="6"/>
      <c r="C321" s="6"/>
      <c r="D321" s="11">
        <v>9548</v>
      </c>
      <c r="E321" s="28"/>
      <c r="F321" s="12">
        <f>D321*E321</f>
        <v>0</v>
      </c>
    </row>
    <row r="322" spans="1:6" ht="22.5" thickTop="1" thickBot="1" x14ac:dyDescent="0.3">
      <c r="A322" s="58" t="s">
        <v>53</v>
      </c>
      <c r="B322" s="59"/>
      <c r="C322" s="59"/>
      <c r="D322" s="59"/>
      <c r="E322" s="59"/>
      <c r="F322" s="59"/>
    </row>
    <row r="323" spans="1:6" ht="20.25" thickTop="1" thickBot="1" x14ac:dyDescent="0.3">
      <c r="A323" s="6" t="s">
        <v>176</v>
      </c>
      <c r="B323" s="6"/>
      <c r="C323" s="6"/>
      <c r="D323" s="11">
        <v>1651</v>
      </c>
      <c r="E323" s="14">
        <v>0</v>
      </c>
      <c r="F323" s="12">
        <f>D323*E323</f>
        <v>0</v>
      </c>
    </row>
    <row r="324" spans="1:6" ht="20.25" thickTop="1" thickBot="1" x14ac:dyDescent="0.3">
      <c r="A324" s="6" t="s">
        <v>177</v>
      </c>
      <c r="B324" s="6"/>
      <c r="C324" s="6"/>
      <c r="D324" s="11">
        <v>1820</v>
      </c>
      <c r="E324" s="14">
        <v>0</v>
      </c>
      <c r="F324" s="12">
        <f>D324*E324</f>
        <v>0</v>
      </c>
    </row>
    <row r="325" spans="1:6" ht="20.25" thickTop="1" thickBot="1" x14ac:dyDescent="0.3">
      <c r="A325" s="6" t="s">
        <v>178</v>
      </c>
      <c r="B325" s="6"/>
      <c r="C325" s="6"/>
      <c r="D325" s="11">
        <v>1171</v>
      </c>
      <c r="E325" s="14">
        <v>0</v>
      </c>
      <c r="F325" s="12">
        <f>D325*E325</f>
        <v>0</v>
      </c>
    </row>
    <row r="326" spans="1:6" ht="20.25" thickTop="1" thickBot="1" x14ac:dyDescent="0.3">
      <c r="A326" s="6" t="s">
        <v>179</v>
      </c>
      <c r="B326" s="6"/>
      <c r="C326" s="6"/>
      <c r="D326" s="11">
        <v>1555</v>
      </c>
      <c r="E326" s="14">
        <v>0</v>
      </c>
      <c r="F326" s="12">
        <f>D326*E326</f>
        <v>0</v>
      </c>
    </row>
    <row r="327" spans="1:6" ht="22.5" thickTop="1" thickBot="1" x14ac:dyDescent="0.3">
      <c r="A327" s="58" t="s">
        <v>320</v>
      </c>
      <c r="B327" s="59"/>
      <c r="C327" s="59"/>
      <c r="D327" s="59"/>
      <c r="E327" s="59"/>
      <c r="F327" s="60"/>
    </row>
    <row r="328" spans="1:6" ht="20.25" thickTop="1" thickBot="1" x14ac:dyDescent="0.3">
      <c r="A328" s="6" t="s">
        <v>142</v>
      </c>
      <c r="B328" s="6"/>
      <c r="C328" s="6"/>
      <c r="D328" s="11">
        <v>2599</v>
      </c>
      <c r="E328" s="15"/>
      <c r="F328" s="12">
        <f t="shared" ref="F328:F337" si="12">D328*E328</f>
        <v>0</v>
      </c>
    </row>
    <row r="329" spans="1:6" ht="39" thickTop="1" thickBot="1" x14ac:dyDescent="0.3">
      <c r="A329" s="6" t="s">
        <v>143</v>
      </c>
      <c r="B329" s="6"/>
      <c r="C329" s="6"/>
      <c r="D329" s="11">
        <v>226</v>
      </c>
      <c r="E329" s="15"/>
      <c r="F329" s="12">
        <f t="shared" si="12"/>
        <v>0</v>
      </c>
    </row>
    <row r="330" spans="1:6" ht="20.25" thickTop="1" thickBot="1" x14ac:dyDescent="0.3">
      <c r="A330" s="6" t="s">
        <v>144</v>
      </c>
      <c r="B330" s="6"/>
      <c r="C330" s="6"/>
      <c r="D330" s="11">
        <v>407</v>
      </c>
      <c r="E330" s="15"/>
      <c r="F330" s="12">
        <f t="shared" si="12"/>
        <v>0</v>
      </c>
    </row>
    <row r="331" spans="1:6" ht="20.25" thickTop="1" thickBot="1" x14ac:dyDescent="0.3">
      <c r="A331" s="6" t="s">
        <v>145</v>
      </c>
      <c r="B331" s="6"/>
      <c r="C331" s="6"/>
      <c r="D331" s="11">
        <v>17</v>
      </c>
      <c r="E331" s="15"/>
      <c r="F331" s="12">
        <f t="shared" si="12"/>
        <v>0</v>
      </c>
    </row>
    <row r="332" spans="1:6" ht="20.25" thickTop="1" thickBot="1" x14ac:dyDescent="0.3">
      <c r="A332" s="6" t="s">
        <v>380</v>
      </c>
      <c r="B332" s="6"/>
      <c r="C332" s="6"/>
      <c r="D332" s="11">
        <v>1000</v>
      </c>
      <c r="E332" s="15">
        <v>0</v>
      </c>
      <c r="F332" s="12">
        <f t="shared" si="12"/>
        <v>0</v>
      </c>
    </row>
    <row r="333" spans="1:6" ht="22.5" thickTop="1" thickBot="1" x14ac:dyDescent="0.3">
      <c r="A333" s="58" t="s">
        <v>39</v>
      </c>
      <c r="B333" s="59"/>
      <c r="C333" s="59"/>
      <c r="D333" s="59"/>
      <c r="E333" s="59"/>
      <c r="F333" s="60"/>
    </row>
    <row r="334" spans="1:6" ht="39" thickTop="1" thickBot="1" x14ac:dyDescent="0.3">
      <c r="A334" s="6" t="s">
        <v>138</v>
      </c>
      <c r="B334" s="6"/>
      <c r="C334" s="6"/>
      <c r="D334" s="11">
        <v>1200</v>
      </c>
      <c r="E334" s="14">
        <v>0</v>
      </c>
      <c r="F334" s="12">
        <f t="shared" si="12"/>
        <v>0</v>
      </c>
    </row>
    <row r="335" spans="1:6" ht="20.25" thickTop="1" thickBot="1" x14ac:dyDescent="0.3">
      <c r="A335" s="6" t="s">
        <v>381</v>
      </c>
      <c r="B335" s="6"/>
      <c r="C335" s="6"/>
      <c r="D335" s="11">
        <v>1000</v>
      </c>
      <c r="E335" s="14">
        <v>2</v>
      </c>
      <c r="F335" s="12">
        <f t="shared" si="12"/>
        <v>2000</v>
      </c>
    </row>
    <row r="336" spans="1:6" ht="39" thickTop="1" thickBot="1" x14ac:dyDescent="0.3">
      <c r="A336" s="6" t="s">
        <v>137</v>
      </c>
      <c r="B336" s="6"/>
      <c r="C336" s="6"/>
      <c r="D336" s="11">
        <v>3500</v>
      </c>
      <c r="E336" s="14">
        <v>0</v>
      </c>
      <c r="F336" s="12">
        <f t="shared" si="12"/>
        <v>0</v>
      </c>
    </row>
    <row r="337" spans="1:6" ht="20.25" thickTop="1" thickBot="1" x14ac:dyDescent="0.3">
      <c r="A337" s="6" t="s">
        <v>139</v>
      </c>
      <c r="B337" s="6"/>
      <c r="C337" s="6"/>
      <c r="D337" s="11">
        <v>2060</v>
      </c>
      <c r="E337" s="14">
        <v>0</v>
      </c>
      <c r="F337" s="12">
        <f t="shared" si="12"/>
        <v>0</v>
      </c>
    </row>
    <row r="338" spans="1:6" ht="22.5" thickTop="1" thickBot="1" x14ac:dyDescent="0.3">
      <c r="A338" s="58" t="s">
        <v>62</v>
      </c>
      <c r="B338" s="59"/>
      <c r="C338" s="59"/>
      <c r="D338" s="59"/>
      <c r="E338" s="59"/>
      <c r="F338" s="59"/>
    </row>
    <row r="339" spans="1:6" ht="20.25" thickTop="1" thickBot="1" x14ac:dyDescent="0.3">
      <c r="A339" s="6" t="s">
        <v>316</v>
      </c>
      <c r="B339" s="6"/>
      <c r="C339" s="6"/>
      <c r="D339" s="11">
        <v>10000</v>
      </c>
      <c r="E339" s="14"/>
      <c r="F339" s="13">
        <f>D339*E339</f>
        <v>0</v>
      </c>
    </row>
    <row r="340" spans="1:6" ht="24.75" thickTop="1" thickBot="1" x14ac:dyDescent="0.3">
      <c r="A340" s="68" t="s">
        <v>36</v>
      </c>
      <c r="B340" s="69"/>
      <c r="C340" s="69"/>
      <c r="D340" s="69"/>
      <c r="E340" s="69"/>
      <c r="F340" s="70"/>
    </row>
    <row r="341" spans="1:6" ht="33.75" customHeight="1" thickTop="1" thickBot="1" x14ac:dyDescent="0.3">
      <c r="A341" s="35"/>
      <c r="B341" s="36"/>
      <c r="C341" s="37"/>
      <c r="D341" s="3" t="s">
        <v>30</v>
      </c>
      <c r="E341" s="7">
        <f>F339+F337+F336+F335+F334+F332+F331+F330+F329+F328+F326+F325+F324+F323+F321+F320+F319+F317+F316+F315+F314+F312+F311+F310+F309+F308+F307+F306+F305+F304+F302+F301+F300+F299+F298+F297+F296+F295+F294+F292+F291+F290+F289+F288+F286+F285+F284+F283+F282+F281+F280+F277+F276+F275+F274+F273+F272+F271+F269+F268+F267+F266+F265+F264+F263+F262+F260+F259+F258+F257+F256+F255+F254+F253+F251+F250+F249+F248+F247+F246+F245+F242+F241+F240+F239+F237+F236+F235+F234+F233+F230+F229+F228+F227+F226+F225+F223+F222+F221+F220+F219+F218+F216+F215+F214+F213+F211+F210+F209+F208+F207+F204+F203+F202+F201+F199+F198+F197+F196+F195+F193+F192+F191+F189+F188+F187+F186+F184+F183+F182+F181+F180+F178+F177+F176+F175+F174+F173+F172+F171+F170+F168+F167+F166+F165+F164+F163+F162+F161+F160+F158+F157+F156+F155+F154+F153+F152+F151+F149+F148+F147+F146+F145+F144+F143+F140+F139+F138+F137+F136+F135+F133+F131+F130+F129+F128+F127+F126+F125+F124+F123+F121+F120+F119+F118+F117+F116+F115+F113+F112+F111+F110+F108+F107+F106+F105+F104+F103+F102+F101+F100+F99+F98+F97+F96+F95+F94+F93+F92+F91+F90+F89+F88+F87+F86+F85+F84+F80+F79+F78+F77+F76+F75+F73+F72+F71+F70+F69+F67+F66+F64++F63+F65+F61+F60+F59+F58+F57+F55+F54+F53+F52+F50+F49+F48+F47+F46+F45+F44+F43+F42+F40+F39+F38+F37+F36+F35+F34+F33+F32+F31+F30+F29+F28+F25+F23+F22+F21+F20+F19+F18+F17+F16+F15+F14+F13+F12+F10+F9+F8+F7+F6+F5+F4+F3</f>
        <v>35020</v>
      </c>
      <c r="F341" s="7"/>
    </row>
    <row r="342" spans="1:6" ht="27" customHeight="1" thickTop="1" thickBot="1" x14ac:dyDescent="0.3">
      <c r="A342" s="38"/>
      <c r="B342" s="39"/>
      <c r="C342" s="40"/>
      <c r="D342" s="3" t="s">
        <v>29</v>
      </c>
      <c r="E342" s="7">
        <f>ROUNDUP((0.8*E341),0)</f>
        <v>28016</v>
      </c>
      <c r="F342" s="7"/>
    </row>
    <row r="343" spans="1:6" ht="28.5" customHeight="1" thickTop="1" thickBot="1" x14ac:dyDescent="0.3">
      <c r="A343" s="38"/>
      <c r="B343" s="39"/>
      <c r="C343" s="40"/>
      <c r="D343" s="3" t="s">
        <v>9</v>
      </c>
      <c r="E343" s="7">
        <f>ROUNDUP((0.55*E341),0)</f>
        <v>19261</v>
      </c>
      <c r="F343" s="7"/>
    </row>
    <row r="344" spans="1:6" ht="24.75" customHeight="1" thickTop="1" thickBot="1" x14ac:dyDescent="0.3">
      <c r="A344" s="38"/>
      <c r="B344" s="39"/>
      <c r="C344" s="40"/>
      <c r="D344" s="3" t="s">
        <v>31</v>
      </c>
      <c r="E344" s="7">
        <v>2500</v>
      </c>
      <c r="F344" s="7">
        <f>E344</f>
        <v>2500</v>
      </c>
    </row>
    <row r="345" spans="1:6" ht="19.5" customHeight="1" thickTop="1" thickBot="1" x14ac:dyDescent="0.3">
      <c r="A345" s="38"/>
      <c r="B345" s="39"/>
      <c r="C345" s="40"/>
      <c r="D345" s="3" t="s">
        <v>10</v>
      </c>
      <c r="E345" s="7">
        <v>6500</v>
      </c>
      <c r="F345" s="7">
        <v>10000</v>
      </c>
    </row>
    <row r="346" spans="1:6" ht="31.5" customHeight="1" thickTop="1" thickBot="1" x14ac:dyDescent="0.3">
      <c r="A346" s="38"/>
      <c r="B346" s="39"/>
      <c r="C346" s="40"/>
      <c r="D346" s="3" t="s">
        <v>32</v>
      </c>
      <c r="E346" s="7">
        <f>ROUNDUP((0.08*E341),0)</f>
        <v>2802</v>
      </c>
      <c r="F346" s="7"/>
    </row>
    <row r="347" spans="1:6" ht="29.25" customHeight="1" thickTop="1" thickBot="1" x14ac:dyDescent="0.3">
      <c r="A347" s="38"/>
      <c r="B347" s="39"/>
      <c r="C347" s="40"/>
      <c r="D347" s="3" t="s">
        <v>33</v>
      </c>
      <c r="E347" s="7">
        <f>ROUNDUP((E341*0.05),0)</f>
        <v>1751</v>
      </c>
      <c r="F347" s="7"/>
    </row>
    <row r="348" spans="1:6" ht="36" customHeight="1" thickTop="1" thickBot="1" x14ac:dyDescent="0.3">
      <c r="A348" s="38"/>
      <c r="B348" s="39"/>
      <c r="C348" s="40"/>
      <c r="D348" s="16" t="s">
        <v>35</v>
      </c>
      <c r="E348" s="71">
        <f>ROUNDUP((SUM(E341:E347)),0)</f>
        <v>95850</v>
      </c>
      <c r="F348" s="72"/>
    </row>
    <row r="349" spans="1:6" ht="29.25" customHeight="1" thickTop="1" thickBot="1" x14ac:dyDescent="0.3">
      <c r="A349" s="38"/>
      <c r="B349" s="39"/>
      <c r="C349" s="40"/>
      <c r="D349" s="3" t="s">
        <v>34</v>
      </c>
      <c r="E349" s="73">
        <f>ROUNDUP((0.3*E348),0)</f>
        <v>28755</v>
      </c>
      <c r="F349" s="74"/>
    </row>
    <row r="350" spans="1:6" ht="34.5" customHeight="1" thickTop="1" thickBot="1" x14ac:dyDescent="0.3">
      <c r="A350" s="38"/>
      <c r="B350" s="39"/>
      <c r="C350" s="40"/>
      <c r="D350" s="16" t="s">
        <v>35</v>
      </c>
      <c r="E350" s="71">
        <f>ROUND((E349+E348),0)</f>
        <v>124605</v>
      </c>
      <c r="F350" s="72"/>
    </row>
    <row r="351" spans="1:6" ht="27" customHeight="1" thickTop="1" thickBot="1" x14ac:dyDescent="0.3">
      <c r="A351" s="38"/>
      <c r="B351" s="39"/>
      <c r="C351" s="40"/>
      <c r="D351" s="4" t="s">
        <v>27</v>
      </c>
      <c r="E351" s="73">
        <f>ROUNDUP((E350*0.3)*0.05,0)</f>
        <v>1870</v>
      </c>
      <c r="F351" s="74"/>
    </row>
    <row r="352" spans="1:6" ht="29.25" customHeight="1" thickTop="1" thickBot="1" x14ac:dyDescent="0.3">
      <c r="A352" s="38"/>
      <c r="B352" s="39"/>
      <c r="C352" s="40"/>
      <c r="D352" s="4" t="s">
        <v>12</v>
      </c>
      <c r="E352" s="73">
        <v>0</v>
      </c>
      <c r="F352" s="74"/>
    </row>
    <row r="353" spans="1:6" ht="20.25" thickTop="1" thickBot="1" x14ac:dyDescent="0.3">
      <c r="A353" s="38"/>
      <c r="B353" s="39"/>
      <c r="C353" s="40"/>
      <c r="D353" s="16" t="s">
        <v>318</v>
      </c>
      <c r="E353" s="71">
        <f>ROUNDUP((E350+E351+E352),0)</f>
        <v>126475</v>
      </c>
      <c r="F353" s="72"/>
    </row>
    <row r="354" spans="1:6" ht="32.25" customHeight="1" thickTop="1" thickBot="1" x14ac:dyDescent="0.3">
      <c r="A354" s="41"/>
      <c r="B354" s="42"/>
      <c r="C354" s="43"/>
      <c r="D354" s="29" t="s">
        <v>317</v>
      </c>
      <c r="E354" s="66">
        <f>E353*1.13</f>
        <v>142916.75</v>
      </c>
      <c r="F354" s="67"/>
    </row>
    <row r="355" spans="1:6" ht="15.75" thickTop="1" x14ac:dyDescent="0.25">
      <c r="F355" s="34"/>
    </row>
  </sheetData>
  <mergeCells count="60">
    <mergeCell ref="A81:F81"/>
    <mergeCell ref="A2:F2"/>
    <mergeCell ref="A11:F11"/>
    <mergeCell ref="A24:F24"/>
    <mergeCell ref="A26:F26"/>
    <mergeCell ref="A27:F27"/>
    <mergeCell ref="A41:F41"/>
    <mergeCell ref="A51:F51"/>
    <mergeCell ref="A56:F56"/>
    <mergeCell ref="A62:F62"/>
    <mergeCell ref="A68:F68"/>
    <mergeCell ref="A74:F74"/>
    <mergeCell ref="A179:F179"/>
    <mergeCell ref="A82:F82"/>
    <mergeCell ref="A109:F109"/>
    <mergeCell ref="A114:F114"/>
    <mergeCell ref="A122:F122"/>
    <mergeCell ref="A132:F132"/>
    <mergeCell ref="A134:F134"/>
    <mergeCell ref="A141:F141"/>
    <mergeCell ref="A142:F142"/>
    <mergeCell ref="A150:F150"/>
    <mergeCell ref="A159:F159"/>
    <mergeCell ref="A169:F169"/>
    <mergeCell ref="A238:F238"/>
    <mergeCell ref="A185:F185"/>
    <mergeCell ref="A190:F190"/>
    <mergeCell ref="A194:F194"/>
    <mergeCell ref="A200:F200"/>
    <mergeCell ref="A205:F205"/>
    <mergeCell ref="A206:F206"/>
    <mergeCell ref="A212:F212"/>
    <mergeCell ref="A217:F217"/>
    <mergeCell ref="A224:F224"/>
    <mergeCell ref="A231:F231"/>
    <mergeCell ref="A232:F232"/>
    <mergeCell ref="A318:F318"/>
    <mergeCell ref="A243:F243"/>
    <mergeCell ref="A244:F244"/>
    <mergeCell ref="A252:F252"/>
    <mergeCell ref="A261:F261"/>
    <mergeCell ref="A270:F270"/>
    <mergeCell ref="A278:F278"/>
    <mergeCell ref="A279:F279"/>
    <mergeCell ref="A287:F287"/>
    <mergeCell ref="A293:F293"/>
    <mergeCell ref="A303:F303"/>
    <mergeCell ref="A313:F313"/>
    <mergeCell ref="E354:F354"/>
    <mergeCell ref="A322:F322"/>
    <mergeCell ref="A327:F327"/>
    <mergeCell ref="A333:F333"/>
    <mergeCell ref="A338:F338"/>
    <mergeCell ref="A340:F340"/>
    <mergeCell ref="E348:F348"/>
    <mergeCell ref="E349:F349"/>
    <mergeCell ref="E350:F350"/>
    <mergeCell ref="E351:F351"/>
    <mergeCell ref="E352:F352"/>
    <mergeCell ref="E353:F353"/>
  </mergeCells>
  <pageMargins left="0.7" right="0.7" top="0.75" bottom="0.75" header="0.3" footer="0.3"/>
  <pageSetup paperSize="9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0943-0A62-49B3-8FA5-A9CF20AACE69}">
  <dimension ref="A1:H355"/>
  <sheetViews>
    <sheetView topLeftCell="A339" zoomScale="69" zoomScaleNormal="60" workbookViewId="0">
      <selection activeCell="G350" sqref="G350"/>
    </sheetView>
  </sheetViews>
  <sheetFormatPr defaultColWidth="38.7109375" defaultRowHeight="15" x14ac:dyDescent="0.25"/>
  <cols>
    <col min="1" max="1" width="74.28515625" customWidth="1"/>
    <col min="2" max="2" width="14.5703125" customWidth="1"/>
    <col min="3" max="3" width="19.85546875" customWidth="1"/>
    <col min="4" max="4" width="16.85546875" customWidth="1"/>
    <col min="5" max="5" width="18.5703125" style="33" customWidth="1"/>
    <col min="6" max="6" width="24.85546875" bestFit="1" customWidth="1"/>
    <col min="7" max="7" width="79.7109375" customWidth="1"/>
  </cols>
  <sheetData>
    <row r="1" spans="1:7" ht="22.5" thickTop="1" thickBot="1" x14ac:dyDescent="0.3">
      <c r="A1" s="5" t="s">
        <v>0</v>
      </c>
      <c r="B1" s="5" t="s">
        <v>183</v>
      </c>
      <c r="C1" s="5" t="s">
        <v>188</v>
      </c>
      <c r="D1" s="5" t="s">
        <v>2</v>
      </c>
      <c r="E1" s="5" t="s">
        <v>1</v>
      </c>
      <c r="F1" s="9" t="s">
        <v>3</v>
      </c>
    </row>
    <row r="2" spans="1:7" ht="24.75" thickTop="1" thickBot="1" x14ac:dyDescent="0.3">
      <c r="A2" s="46" t="s">
        <v>42</v>
      </c>
      <c r="B2" s="47"/>
      <c r="C2" s="47"/>
      <c r="D2" s="47"/>
      <c r="E2" s="47"/>
      <c r="F2" s="48"/>
    </row>
    <row r="3" spans="1:7" ht="20.25" thickTop="1" thickBot="1" x14ac:dyDescent="0.3">
      <c r="A3" s="6" t="s">
        <v>322</v>
      </c>
      <c r="B3" s="6"/>
      <c r="C3" s="6" t="s">
        <v>191</v>
      </c>
      <c r="D3" s="11">
        <v>6000</v>
      </c>
      <c r="E3" s="14">
        <v>0</v>
      </c>
      <c r="F3" s="12">
        <f t="shared" ref="F3:F19" si="0">ROUNDUP(E3*D3,0)</f>
        <v>0</v>
      </c>
    </row>
    <row r="4" spans="1:7" ht="20.25" thickTop="1" thickBot="1" x14ac:dyDescent="0.3">
      <c r="A4" s="6" t="s">
        <v>322</v>
      </c>
      <c r="B4" s="6"/>
      <c r="C4" s="6" t="s">
        <v>191</v>
      </c>
      <c r="D4" s="11">
        <v>6650</v>
      </c>
      <c r="E4" s="14"/>
      <c r="F4" s="12">
        <f t="shared" si="0"/>
        <v>0</v>
      </c>
    </row>
    <row r="5" spans="1:7" ht="20.25" thickTop="1" thickBot="1" x14ac:dyDescent="0.3">
      <c r="A5" s="6" t="s">
        <v>321</v>
      </c>
      <c r="B5" s="6"/>
      <c r="C5" s="6" t="s">
        <v>191</v>
      </c>
      <c r="D5" s="11">
        <v>8050</v>
      </c>
      <c r="E5" s="14">
        <v>0</v>
      </c>
      <c r="F5" s="12">
        <f t="shared" si="0"/>
        <v>0</v>
      </c>
    </row>
    <row r="6" spans="1:7" ht="20.25" thickTop="1" thickBot="1" x14ac:dyDescent="0.3">
      <c r="A6" s="6" t="s">
        <v>43</v>
      </c>
      <c r="B6" s="6" t="s">
        <v>315</v>
      </c>
      <c r="C6" s="6" t="s">
        <v>189</v>
      </c>
      <c r="D6" s="11">
        <v>5650</v>
      </c>
      <c r="E6" s="14"/>
      <c r="F6" s="12">
        <f t="shared" si="0"/>
        <v>0</v>
      </c>
    </row>
    <row r="7" spans="1:7" ht="20.25" thickTop="1" thickBot="1" x14ac:dyDescent="0.3">
      <c r="A7" s="6" t="s">
        <v>43</v>
      </c>
      <c r="B7" s="6" t="s">
        <v>314</v>
      </c>
      <c r="C7" s="6" t="s">
        <v>189</v>
      </c>
      <c r="D7" s="11">
        <v>6400</v>
      </c>
      <c r="E7" s="14"/>
      <c r="F7" s="12">
        <f t="shared" si="0"/>
        <v>0</v>
      </c>
    </row>
    <row r="8" spans="1:7" ht="20.25" thickTop="1" thickBot="1" x14ac:dyDescent="0.3">
      <c r="A8" s="6" t="s">
        <v>323</v>
      </c>
      <c r="B8" s="6" t="s">
        <v>315</v>
      </c>
      <c r="C8" s="6" t="s">
        <v>190</v>
      </c>
      <c r="D8" s="11">
        <v>5100</v>
      </c>
      <c r="E8" s="14">
        <v>0</v>
      </c>
      <c r="F8" s="12">
        <f t="shared" si="0"/>
        <v>0</v>
      </c>
    </row>
    <row r="9" spans="1:7" ht="20.25" thickTop="1" thickBot="1" x14ac:dyDescent="0.3">
      <c r="A9" s="6" t="s">
        <v>323</v>
      </c>
      <c r="B9" s="6" t="s">
        <v>314</v>
      </c>
      <c r="C9" s="6" t="s">
        <v>190</v>
      </c>
      <c r="D9" s="11">
        <v>5600</v>
      </c>
      <c r="E9" s="14">
        <v>6</v>
      </c>
      <c r="F9" s="12">
        <f t="shared" si="0"/>
        <v>33600</v>
      </c>
    </row>
    <row r="10" spans="1:7" ht="20.25" thickTop="1" thickBot="1" x14ac:dyDescent="0.3">
      <c r="A10" s="6" t="s">
        <v>324</v>
      </c>
      <c r="B10" s="6" t="s">
        <v>382</v>
      </c>
      <c r="C10" s="6" t="s">
        <v>191</v>
      </c>
      <c r="D10" s="11">
        <v>3600</v>
      </c>
      <c r="E10" s="14"/>
      <c r="F10" s="12">
        <f t="shared" si="0"/>
        <v>0</v>
      </c>
    </row>
    <row r="11" spans="1:7" ht="22.5" thickTop="1" thickBot="1" x14ac:dyDescent="0.3">
      <c r="A11" s="49" t="s">
        <v>127</v>
      </c>
      <c r="B11" s="50"/>
      <c r="C11" s="50"/>
      <c r="D11" s="50"/>
      <c r="E11" s="50"/>
      <c r="F11" s="50"/>
    </row>
    <row r="12" spans="1:7" ht="20.25" thickTop="1" thickBot="1" x14ac:dyDescent="0.3">
      <c r="A12" s="6" t="s">
        <v>141</v>
      </c>
      <c r="B12" s="6"/>
      <c r="C12" s="6" t="s">
        <v>191</v>
      </c>
      <c r="D12" s="11">
        <v>17.5</v>
      </c>
      <c r="E12" s="14"/>
      <c r="F12" s="12">
        <f t="shared" si="0"/>
        <v>0</v>
      </c>
    </row>
    <row r="13" spans="1:7" ht="20.25" thickTop="1" thickBot="1" x14ac:dyDescent="0.3">
      <c r="A13" s="6" t="s">
        <v>128</v>
      </c>
      <c r="B13" s="6"/>
      <c r="C13" s="6" t="s">
        <v>191</v>
      </c>
      <c r="D13" s="11">
        <v>34</v>
      </c>
      <c r="E13" s="14">
        <v>250</v>
      </c>
      <c r="F13" s="12">
        <f t="shared" si="0"/>
        <v>8500</v>
      </c>
    </row>
    <row r="14" spans="1:7" ht="20.25" thickTop="1" thickBot="1" x14ac:dyDescent="0.3">
      <c r="A14" s="6" t="s">
        <v>129</v>
      </c>
      <c r="B14" s="6"/>
      <c r="C14" s="6" t="s">
        <v>191</v>
      </c>
      <c r="D14" s="11">
        <v>60</v>
      </c>
      <c r="E14" s="14">
        <v>0</v>
      </c>
      <c r="F14" s="12">
        <f t="shared" si="0"/>
        <v>0</v>
      </c>
    </row>
    <row r="15" spans="1:7" ht="20.25" thickTop="1" thickBot="1" x14ac:dyDescent="0.3">
      <c r="A15" s="6" t="s">
        <v>130</v>
      </c>
      <c r="B15" s="6"/>
      <c r="C15" s="6" t="s">
        <v>191</v>
      </c>
      <c r="D15" s="11">
        <v>129.5</v>
      </c>
      <c r="E15" s="14">
        <v>0</v>
      </c>
      <c r="F15" s="12">
        <f t="shared" si="0"/>
        <v>0</v>
      </c>
    </row>
    <row r="16" spans="1:7" ht="20.25" thickTop="1" thickBot="1" x14ac:dyDescent="0.3">
      <c r="A16" s="6" t="s">
        <v>180</v>
      </c>
      <c r="B16" s="6"/>
      <c r="C16" s="6" t="s">
        <v>189</v>
      </c>
      <c r="D16" s="11">
        <v>18</v>
      </c>
      <c r="E16" s="14"/>
      <c r="F16" s="12">
        <f t="shared" si="0"/>
        <v>0</v>
      </c>
      <c r="G16" s="27"/>
    </row>
    <row r="17" spans="1:7" ht="20.25" thickTop="1" thickBot="1" x14ac:dyDescent="0.3">
      <c r="A17" s="6" t="s">
        <v>131</v>
      </c>
      <c r="B17" s="6"/>
      <c r="C17" s="6" t="s">
        <v>189</v>
      </c>
      <c r="D17" s="11">
        <v>32</v>
      </c>
      <c r="E17" s="14"/>
      <c r="F17" s="12">
        <f t="shared" si="0"/>
        <v>0</v>
      </c>
      <c r="G17" s="27"/>
    </row>
    <row r="18" spans="1:7" ht="20.25" thickTop="1" thickBot="1" x14ac:dyDescent="0.3">
      <c r="A18" s="6" t="s">
        <v>132</v>
      </c>
      <c r="B18" s="6"/>
      <c r="C18" s="6" t="s">
        <v>189</v>
      </c>
      <c r="D18" s="11">
        <v>56.5</v>
      </c>
      <c r="E18" s="14"/>
      <c r="F18" s="12">
        <f t="shared" si="0"/>
        <v>0</v>
      </c>
      <c r="G18" s="27"/>
    </row>
    <row r="19" spans="1:7" ht="20.25" thickTop="1" thickBot="1" x14ac:dyDescent="0.3">
      <c r="A19" s="6" t="s">
        <v>319</v>
      </c>
      <c r="B19" s="6"/>
      <c r="C19" s="6" t="s">
        <v>189</v>
      </c>
      <c r="D19" s="11">
        <v>80</v>
      </c>
      <c r="E19" s="14"/>
      <c r="F19" s="12">
        <f t="shared" si="0"/>
        <v>0</v>
      </c>
      <c r="G19" s="27"/>
    </row>
    <row r="20" spans="1:7" ht="20.25" thickTop="1" thickBot="1" x14ac:dyDescent="0.3">
      <c r="A20" s="6" t="s">
        <v>184</v>
      </c>
      <c r="B20" s="6"/>
      <c r="C20" s="6" t="s">
        <v>190</v>
      </c>
      <c r="D20" s="11"/>
      <c r="E20" s="14"/>
      <c r="F20" s="13"/>
      <c r="G20" s="27"/>
    </row>
    <row r="21" spans="1:7" ht="20.25" thickTop="1" thickBot="1" x14ac:dyDescent="0.3">
      <c r="A21" s="6" t="s">
        <v>185</v>
      </c>
      <c r="B21" s="6"/>
      <c r="C21" s="6" t="s">
        <v>190</v>
      </c>
      <c r="D21" s="11"/>
      <c r="E21" s="14"/>
      <c r="F21" s="13"/>
      <c r="G21" s="27"/>
    </row>
    <row r="22" spans="1:7" ht="20.25" thickTop="1" thickBot="1" x14ac:dyDescent="0.3">
      <c r="A22" s="6" t="s">
        <v>186</v>
      </c>
      <c r="B22" s="6"/>
      <c r="C22" s="6" t="s">
        <v>190</v>
      </c>
      <c r="D22" s="11"/>
      <c r="E22" s="14"/>
      <c r="F22" s="13"/>
      <c r="G22" s="27"/>
    </row>
    <row r="23" spans="1:7" ht="20.25" thickTop="1" thickBot="1" x14ac:dyDescent="0.3">
      <c r="A23" s="6" t="s">
        <v>187</v>
      </c>
      <c r="B23" s="6"/>
      <c r="C23" s="6" t="s">
        <v>190</v>
      </c>
      <c r="D23" s="11"/>
      <c r="E23" s="14"/>
      <c r="F23" s="13"/>
      <c r="G23" s="27"/>
    </row>
    <row r="24" spans="1:7" ht="24.75" thickTop="1" thickBot="1" x14ac:dyDescent="0.3">
      <c r="A24" s="46" t="s">
        <v>181</v>
      </c>
      <c r="B24" s="47"/>
      <c r="C24" s="47"/>
      <c r="D24" s="47"/>
      <c r="E24" s="47"/>
      <c r="F24" s="48"/>
    </row>
    <row r="25" spans="1:7" ht="20.25" thickTop="1" thickBot="1" x14ac:dyDescent="0.3">
      <c r="A25" s="6" t="s">
        <v>182</v>
      </c>
      <c r="B25" s="6"/>
      <c r="C25" s="6"/>
      <c r="D25" s="11">
        <v>1380</v>
      </c>
      <c r="E25" s="28">
        <v>1</v>
      </c>
      <c r="F25" s="12">
        <f>D25*E25</f>
        <v>1380</v>
      </c>
    </row>
    <row r="26" spans="1:7" ht="24.75" thickTop="1" thickBot="1" x14ac:dyDescent="0.3">
      <c r="A26" s="46" t="s">
        <v>44</v>
      </c>
      <c r="B26" s="47"/>
      <c r="C26" s="47"/>
      <c r="D26" s="47"/>
      <c r="E26" s="47"/>
      <c r="F26" s="48"/>
    </row>
    <row r="27" spans="1:7" ht="22.5" thickTop="1" thickBot="1" x14ac:dyDescent="0.3">
      <c r="A27" s="49" t="s">
        <v>227</v>
      </c>
      <c r="B27" s="50"/>
      <c r="C27" s="50"/>
      <c r="D27" s="50"/>
      <c r="E27" s="50"/>
      <c r="F27" s="50"/>
    </row>
    <row r="28" spans="1:7" ht="20.25" thickTop="1" thickBot="1" x14ac:dyDescent="0.3">
      <c r="A28" s="6" t="s">
        <v>77</v>
      </c>
      <c r="B28" s="6"/>
      <c r="C28" s="6" t="s">
        <v>189</v>
      </c>
      <c r="D28" s="11">
        <v>6800</v>
      </c>
      <c r="E28" s="14">
        <v>0</v>
      </c>
      <c r="F28" s="12">
        <f>ROUNDUP(E28*D28,0)</f>
        <v>0</v>
      </c>
    </row>
    <row r="29" spans="1:7" ht="20.25" thickTop="1" thickBot="1" x14ac:dyDescent="0.3">
      <c r="A29" s="6" t="s">
        <v>228</v>
      </c>
      <c r="B29" s="6"/>
      <c r="C29" s="6" t="s">
        <v>189</v>
      </c>
      <c r="D29" s="11">
        <v>6000</v>
      </c>
      <c r="E29" s="14">
        <v>0</v>
      </c>
      <c r="F29" s="12">
        <f t="shared" ref="F29:F131" si="1">ROUNDUP(E29*D29,0)</f>
        <v>0</v>
      </c>
    </row>
    <row r="30" spans="1:7" ht="20.25" thickTop="1" thickBot="1" x14ac:dyDescent="0.3">
      <c r="A30" s="6" t="s">
        <v>108</v>
      </c>
      <c r="B30" s="6"/>
      <c r="C30" s="6" t="s">
        <v>189</v>
      </c>
      <c r="D30" s="11">
        <v>9700</v>
      </c>
      <c r="E30" s="14">
        <v>0</v>
      </c>
      <c r="F30" s="12">
        <f t="shared" si="1"/>
        <v>0</v>
      </c>
    </row>
    <row r="31" spans="1:7" ht="20.25" thickTop="1" thickBot="1" x14ac:dyDescent="0.3">
      <c r="A31" s="6" t="s">
        <v>229</v>
      </c>
      <c r="B31" s="6"/>
      <c r="C31" s="6" t="s">
        <v>191</v>
      </c>
      <c r="D31" s="11">
        <v>13901</v>
      </c>
      <c r="E31" s="14"/>
      <c r="F31" s="12">
        <f t="shared" si="1"/>
        <v>0</v>
      </c>
    </row>
    <row r="32" spans="1:7" ht="20.25" thickTop="1" thickBot="1" x14ac:dyDescent="0.3">
      <c r="A32" s="6" t="s">
        <v>230</v>
      </c>
      <c r="B32" s="6"/>
      <c r="C32" s="6" t="s">
        <v>191</v>
      </c>
      <c r="D32" s="11">
        <v>9800</v>
      </c>
      <c r="E32" s="14"/>
      <c r="F32" s="12">
        <f t="shared" si="1"/>
        <v>0</v>
      </c>
    </row>
    <row r="33" spans="1:6" ht="20.25" thickTop="1" thickBot="1" x14ac:dyDescent="0.3">
      <c r="A33" s="6" t="s">
        <v>54</v>
      </c>
      <c r="B33" s="6"/>
      <c r="C33" s="6" t="s">
        <v>192</v>
      </c>
      <c r="D33" s="11">
        <v>10645</v>
      </c>
      <c r="E33" s="14"/>
      <c r="F33" s="12">
        <f t="shared" si="1"/>
        <v>0</v>
      </c>
    </row>
    <row r="34" spans="1:6" ht="20.25" thickTop="1" thickBot="1" x14ac:dyDescent="0.3">
      <c r="A34" s="6" t="s">
        <v>55</v>
      </c>
      <c r="B34" s="6"/>
      <c r="C34" s="6" t="s">
        <v>192</v>
      </c>
      <c r="D34" s="11">
        <v>13810</v>
      </c>
      <c r="E34" s="14"/>
      <c r="F34" s="12">
        <f t="shared" si="1"/>
        <v>0</v>
      </c>
    </row>
    <row r="35" spans="1:6" ht="20.25" thickTop="1" thickBot="1" x14ac:dyDescent="0.3">
      <c r="A35" s="6" t="s">
        <v>56</v>
      </c>
      <c r="B35" s="6"/>
      <c r="C35" s="6" t="s">
        <v>191</v>
      </c>
      <c r="D35" s="11">
        <v>24816</v>
      </c>
      <c r="E35" s="14"/>
      <c r="F35" s="12">
        <f t="shared" si="1"/>
        <v>0</v>
      </c>
    </row>
    <row r="36" spans="1:6" ht="20.25" thickTop="1" thickBot="1" x14ac:dyDescent="0.3">
      <c r="A36" s="6" t="s">
        <v>57</v>
      </c>
      <c r="B36" s="6"/>
      <c r="C36" s="6" t="s">
        <v>191</v>
      </c>
      <c r="D36" s="11">
        <v>11999</v>
      </c>
      <c r="E36" s="14"/>
      <c r="F36" s="12">
        <f t="shared" si="1"/>
        <v>0</v>
      </c>
    </row>
    <row r="37" spans="1:6" ht="20.25" thickTop="1" thickBot="1" x14ac:dyDescent="0.3">
      <c r="A37" s="6" t="s">
        <v>59</v>
      </c>
      <c r="B37" s="6"/>
      <c r="C37" s="6" t="s">
        <v>189</v>
      </c>
      <c r="D37" s="11">
        <v>12450</v>
      </c>
      <c r="E37" s="14">
        <v>0</v>
      </c>
      <c r="F37" s="12">
        <f t="shared" si="1"/>
        <v>0</v>
      </c>
    </row>
    <row r="38" spans="1:6" ht="20.25" thickTop="1" thickBot="1" x14ac:dyDescent="0.3">
      <c r="A38" s="6" t="s">
        <v>58</v>
      </c>
      <c r="B38" s="6"/>
      <c r="C38" s="6" t="s">
        <v>189</v>
      </c>
      <c r="D38" s="11">
        <v>17160</v>
      </c>
      <c r="E38" s="14"/>
      <c r="F38" s="12">
        <f t="shared" si="1"/>
        <v>0</v>
      </c>
    </row>
    <row r="39" spans="1:6" ht="20.25" thickTop="1" thickBot="1" x14ac:dyDescent="0.3">
      <c r="A39" s="6" t="s">
        <v>60</v>
      </c>
      <c r="B39" s="6"/>
      <c r="C39" s="6" t="s">
        <v>189</v>
      </c>
      <c r="D39" s="11">
        <v>10560</v>
      </c>
      <c r="E39" s="14"/>
      <c r="F39" s="12">
        <f t="shared" si="1"/>
        <v>0</v>
      </c>
    </row>
    <row r="40" spans="1:6" ht="20.25" thickTop="1" thickBot="1" x14ac:dyDescent="0.3">
      <c r="A40" s="6" t="s">
        <v>61</v>
      </c>
      <c r="B40" s="6"/>
      <c r="C40" s="6" t="s">
        <v>191</v>
      </c>
      <c r="D40" s="11">
        <v>26406</v>
      </c>
      <c r="E40" s="14"/>
      <c r="F40" s="12">
        <f t="shared" si="1"/>
        <v>0</v>
      </c>
    </row>
    <row r="41" spans="1:6" ht="22.5" thickTop="1" thickBot="1" x14ac:dyDescent="0.3">
      <c r="A41" s="49" t="s">
        <v>133</v>
      </c>
      <c r="B41" s="50"/>
      <c r="C41" s="50"/>
      <c r="D41" s="50"/>
      <c r="E41" s="50"/>
      <c r="F41" s="50"/>
    </row>
    <row r="42" spans="1:6" ht="20.25" thickTop="1" thickBot="1" x14ac:dyDescent="0.3">
      <c r="A42" s="6" t="s">
        <v>134</v>
      </c>
      <c r="B42" s="6"/>
      <c r="C42" s="6" t="s">
        <v>189</v>
      </c>
      <c r="D42" s="11">
        <v>45</v>
      </c>
      <c r="E42" s="14">
        <v>0</v>
      </c>
      <c r="F42" s="12">
        <f t="shared" ref="F42:F50" si="2">ROUNDUP(E42*D42,0)</f>
        <v>0</v>
      </c>
    </row>
    <row r="43" spans="1:6" ht="20.25" thickTop="1" thickBot="1" x14ac:dyDescent="0.3">
      <c r="A43" s="6" t="s">
        <v>135</v>
      </c>
      <c r="B43" s="6"/>
      <c r="C43" s="6" t="s">
        <v>192</v>
      </c>
      <c r="D43" s="11">
        <v>113</v>
      </c>
      <c r="E43" s="14"/>
      <c r="F43" s="12">
        <f t="shared" si="2"/>
        <v>0</v>
      </c>
    </row>
    <row r="44" spans="1:6" ht="20.25" thickTop="1" thickBot="1" x14ac:dyDescent="0.3">
      <c r="A44" s="6" t="s">
        <v>136</v>
      </c>
      <c r="B44" s="6"/>
      <c r="C44" s="6" t="s">
        <v>192</v>
      </c>
      <c r="D44" s="11">
        <v>113</v>
      </c>
      <c r="E44" s="14"/>
      <c r="F44" s="12">
        <f t="shared" si="2"/>
        <v>0</v>
      </c>
    </row>
    <row r="45" spans="1:6" ht="20.25" thickTop="1" thickBot="1" x14ac:dyDescent="0.3">
      <c r="A45" s="6" t="s">
        <v>164</v>
      </c>
      <c r="B45" s="6"/>
      <c r="C45" s="6" t="s">
        <v>191</v>
      </c>
      <c r="D45" s="11">
        <v>74.400000000000006</v>
      </c>
      <c r="E45" s="14">
        <v>0</v>
      </c>
      <c r="F45" s="12">
        <f t="shared" si="2"/>
        <v>0</v>
      </c>
    </row>
    <row r="46" spans="1:6" ht="20.25" thickTop="1" thickBot="1" x14ac:dyDescent="0.3">
      <c r="A46" s="6" t="s">
        <v>165</v>
      </c>
      <c r="B46" s="6"/>
      <c r="C46" s="6" t="s">
        <v>189</v>
      </c>
      <c r="D46" s="11">
        <v>85</v>
      </c>
      <c r="E46" s="14">
        <v>0</v>
      </c>
      <c r="F46" s="12">
        <f t="shared" si="2"/>
        <v>0</v>
      </c>
    </row>
    <row r="47" spans="1:6" ht="20.25" thickTop="1" thickBot="1" x14ac:dyDescent="0.3">
      <c r="A47" s="6" t="s">
        <v>166</v>
      </c>
      <c r="B47" s="6"/>
      <c r="C47" s="6" t="s">
        <v>189</v>
      </c>
      <c r="D47" s="11">
        <v>95.04</v>
      </c>
      <c r="E47" s="14"/>
      <c r="F47" s="12">
        <f t="shared" si="2"/>
        <v>0</v>
      </c>
    </row>
    <row r="48" spans="1:6" ht="20.25" thickTop="1" thickBot="1" x14ac:dyDescent="0.3">
      <c r="A48" s="6" t="s">
        <v>167</v>
      </c>
      <c r="B48" s="6"/>
      <c r="C48" s="6" t="s">
        <v>189</v>
      </c>
      <c r="D48" s="11">
        <v>87.62</v>
      </c>
      <c r="E48" s="14"/>
      <c r="F48" s="12">
        <f t="shared" si="2"/>
        <v>0</v>
      </c>
    </row>
    <row r="49" spans="1:8" ht="20.25" thickTop="1" thickBot="1" x14ac:dyDescent="0.3">
      <c r="A49" s="6" t="s">
        <v>168</v>
      </c>
      <c r="B49" s="6"/>
      <c r="C49" s="6" t="s">
        <v>191</v>
      </c>
      <c r="D49" s="11">
        <v>112.36</v>
      </c>
      <c r="E49" s="14"/>
      <c r="F49" s="12">
        <f t="shared" si="2"/>
        <v>0</v>
      </c>
    </row>
    <row r="50" spans="1:8" ht="20.25" thickTop="1" thickBot="1" x14ac:dyDescent="0.3">
      <c r="A50" s="6" t="s">
        <v>169</v>
      </c>
      <c r="B50" s="6"/>
      <c r="C50" s="6" t="s">
        <v>191</v>
      </c>
      <c r="D50" s="11">
        <v>144.76</v>
      </c>
      <c r="E50" s="14"/>
      <c r="F50" s="12">
        <f t="shared" si="2"/>
        <v>0</v>
      </c>
    </row>
    <row r="51" spans="1:8" s="31" customFormat="1" ht="22.5" thickTop="1" thickBot="1" x14ac:dyDescent="0.4">
      <c r="A51" s="51" t="s">
        <v>231</v>
      </c>
      <c r="B51" s="52"/>
      <c r="C51" s="52"/>
      <c r="D51" s="52"/>
      <c r="E51" s="52"/>
      <c r="F51" s="52"/>
    </row>
    <row r="52" spans="1:8" ht="20.25" thickTop="1" thickBot="1" x14ac:dyDescent="0.3">
      <c r="A52" s="6" t="s">
        <v>193</v>
      </c>
      <c r="B52" s="6"/>
      <c r="C52" s="6" t="s">
        <v>197</v>
      </c>
      <c r="D52" s="11">
        <v>5600</v>
      </c>
      <c r="E52" s="14"/>
      <c r="F52" s="12">
        <f t="shared" si="1"/>
        <v>0</v>
      </c>
    </row>
    <row r="53" spans="1:8" ht="20.25" thickTop="1" thickBot="1" x14ac:dyDescent="0.3">
      <c r="A53" s="6" t="s">
        <v>194</v>
      </c>
      <c r="B53" s="6"/>
      <c r="C53" s="6" t="s">
        <v>197</v>
      </c>
      <c r="D53" s="11">
        <v>6800</v>
      </c>
      <c r="E53" s="14"/>
      <c r="F53" s="12">
        <f t="shared" si="1"/>
        <v>0</v>
      </c>
    </row>
    <row r="54" spans="1:8" ht="20.25" thickTop="1" thickBot="1" x14ac:dyDescent="0.3">
      <c r="A54" s="6" t="s">
        <v>195</v>
      </c>
      <c r="B54" s="6"/>
      <c r="C54" s="6" t="s">
        <v>197</v>
      </c>
      <c r="D54" s="11">
        <v>8030</v>
      </c>
      <c r="E54" s="14"/>
      <c r="F54" s="12">
        <f t="shared" si="1"/>
        <v>0</v>
      </c>
    </row>
    <row r="55" spans="1:8" ht="20.25" thickTop="1" thickBot="1" x14ac:dyDescent="0.3">
      <c r="A55" s="6" t="s">
        <v>196</v>
      </c>
      <c r="B55" s="6"/>
      <c r="C55" s="6" t="s">
        <v>197</v>
      </c>
      <c r="D55" s="11">
        <v>11330</v>
      </c>
      <c r="E55" s="14"/>
      <c r="F55" s="12">
        <f t="shared" si="1"/>
        <v>0</v>
      </c>
      <c r="H55" t="s">
        <v>4</v>
      </c>
    </row>
    <row r="56" spans="1:8" ht="20.25" thickTop="1" thickBot="1" x14ac:dyDescent="0.3">
      <c r="A56" s="53"/>
      <c r="B56" s="54"/>
      <c r="C56" s="54"/>
      <c r="D56" s="54"/>
      <c r="E56" s="54"/>
      <c r="F56" s="54"/>
    </row>
    <row r="57" spans="1:8" ht="20.25" thickTop="1" thickBot="1" x14ac:dyDescent="0.3">
      <c r="A57" s="6" t="s">
        <v>203</v>
      </c>
      <c r="B57" s="6"/>
      <c r="C57" s="6" t="s">
        <v>197</v>
      </c>
      <c r="D57" s="11">
        <v>3900</v>
      </c>
      <c r="E57" s="14"/>
      <c r="F57" s="12">
        <f t="shared" si="1"/>
        <v>0</v>
      </c>
    </row>
    <row r="58" spans="1:8" ht="20.25" thickTop="1" thickBot="1" x14ac:dyDescent="0.3">
      <c r="A58" s="6" t="s">
        <v>204</v>
      </c>
      <c r="B58" s="6"/>
      <c r="C58" s="6" t="s">
        <v>197</v>
      </c>
      <c r="D58" s="11">
        <v>4500</v>
      </c>
      <c r="E58" s="14"/>
      <c r="F58" s="12">
        <f t="shared" si="1"/>
        <v>0</v>
      </c>
    </row>
    <row r="59" spans="1:8" ht="20.25" thickTop="1" thickBot="1" x14ac:dyDescent="0.3">
      <c r="A59" s="6" t="s">
        <v>205</v>
      </c>
      <c r="B59" s="6"/>
      <c r="C59" s="6" t="s">
        <v>197</v>
      </c>
      <c r="D59" s="11">
        <v>5400</v>
      </c>
      <c r="E59" s="14"/>
      <c r="F59" s="12">
        <f t="shared" si="1"/>
        <v>0</v>
      </c>
    </row>
    <row r="60" spans="1:8" ht="20.25" thickTop="1" thickBot="1" x14ac:dyDescent="0.3">
      <c r="A60" s="6" t="s">
        <v>206</v>
      </c>
      <c r="B60" s="6"/>
      <c r="C60" s="6" t="s">
        <v>197</v>
      </c>
      <c r="D60" s="11">
        <v>6200</v>
      </c>
      <c r="E60" s="14"/>
      <c r="F60" s="12">
        <f t="shared" si="1"/>
        <v>0</v>
      </c>
    </row>
    <row r="61" spans="1:8" ht="20.25" thickTop="1" thickBot="1" x14ac:dyDescent="0.3">
      <c r="A61" s="6" t="s">
        <v>207</v>
      </c>
      <c r="B61" s="6"/>
      <c r="C61" s="6" t="s">
        <v>197</v>
      </c>
      <c r="D61" s="11">
        <v>6650</v>
      </c>
      <c r="E61" s="14"/>
      <c r="F61" s="12">
        <f t="shared" si="1"/>
        <v>0</v>
      </c>
    </row>
    <row r="62" spans="1:8" ht="20.25" thickTop="1" thickBot="1" x14ac:dyDescent="0.3">
      <c r="A62" s="53"/>
      <c r="B62" s="54"/>
      <c r="C62" s="54"/>
      <c r="D62" s="54"/>
      <c r="E62" s="54"/>
      <c r="F62" s="54"/>
    </row>
    <row r="63" spans="1:8" ht="20.25" thickTop="1" thickBot="1" x14ac:dyDescent="0.3">
      <c r="A63" s="6" t="s">
        <v>198</v>
      </c>
      <c r="B63" s="6"/>
      <c r="C63" s="6" t="s">
        <v>197</v>
      </c>
      <c r="D63" s="11">
        <v>4650</v>
      </c>
      <c r="E63" s="14"/>
      <c r="F63" s="12">
        <f t="shared" si="1"/>
        <v>0</v>
      </c>
    </row>
    <row r="64" spans="1:8" ht="20.25" thickTop="1" thickBot="1" x14ac:dyDescent="0.3">
      <c r="A64" s="6" t="s">
        <v>199</v>
      </c>
      <c r="B64" s="6"/>
      <c r="C64" s="6" t="s">
        <v>197</v>
      </c>
      <c r="D64" s="11">
        <v>5250</v>
      </c>
      <c r="E64" s="14"/>
      <c r="F64" s="12">
        <f t="shared" si="1"/>
        <v>0</v>
      </c>
    </row>
    <row r="65" spans="1:6" ht="20.25" thickTop="1" thickBot="1" x14ac:dyDescent="0.3">
      <c r="A65" s="6" t="s">
        <v>200</v>
      </c>
      <c r="B65" s="6"/>
      <c r="C65" s="6" t="s">
        <v>197</v>
      </c>
      <c r="D65" s="11">
        <v>5900</v>
      </c>
      <c r="E65" s="14"/>
      <c r="F65" s="12">
        <f t="shared" si="1"/>
        <v>0</v>
      </c>
    </row>
    <row r="66" spans="1:6" ht="20.25" thickTop="1" thickBot="1" x14ac:dyDescent="0.3">
      <c r="A66" s="6" t="s">
        <v>201</v>
      </c>
      <c r="B66" s="6"/>
      <c r="C66" s="6" t="s">
        <v>197</v>
      </c>
      <c r="D66" s="11">
        <v>6750</v>
      </c>
      <c r="E66" s="14"/>
      <c r="F66" s="12">
        <f t="shared" si="1"/>
        <v>0</v>
      </c>
    </row>
    <row r="67" spans="1:6" ht="20.25" thickTop="1" thickBot="1" x14ac:dyDescent="0.3">
      <c r="A67" s="6" t="s">
        <v>202</v>
      </c>
      <c r="B67" s="6"/>
      <c r="C67" s="6" t="s">
        <v>197</v>
      </c>
      <c r="D67" s="11">
        <v>7200</v>
      </c>
      <c r="E67" s="14"/>
      <c r="F67" s="12">
        <f t="shared" si="1"/>
        <v>0</v>
      </c>
    </row>
    <row r="68" spans="1:6" ht="20.25" thickTop="1" thickBot="1" x14ac:dyDescent="0.3">
      <c r="A68" s="53"/>
      <c r="B68" s="54"/>
      <c r="C68" s="54"/>
      <c r="D68" s="54"/>
      <c r="E68" s="54"/>
      <c r="F68" s="54"/>
    </row>
    <row r="69" spans="1:6" ht="20.25" thickTop="1" thickBot="1" x14ac:dyDescent="0.3">
      <c r="A69" s="6" t="s">
        <v>208</v>
      </c>
      <c r="B69" s="6"/>
      <c r="C69" s="6" t="s">
        <v>197</v>
      </c>
      <c r="D69" s="11">
        <v>6200</v>
      </c>
      <c r="E69" s="14"/>
      <c r="F69" s="12">
        <f t="shared" si="1"/>
        <v>0</v>
      </c>
    </row>
    <row r="70" spans="1:6" ht="20.25" thickTop="1" thickBot="1" x14ac:dyDescent="0.3">
      <c r="A70" s="6" t="s">
        <v>209</v>
      </c>
      <c r="B70" s="6"/>
      <c r="C70" s="6" t="s">
        <v>197</v>
      </c>
      <c r="D70" s="11">
        <v>6850</v>
      </c>
      <c r="E70" s="14"/>
      <c r="F70" s="12">
        <f t="shared" si="1"/>
        <v>0</v>
      </c>
    </row>
    <row r="71" spans="1:6" ht="20.25" thickTop="1" thickBot="1" x14ac:dyDescent="0.3">
      <c r="A71" s="6" t="s">
        <v>210</v>
      </c>
      <c r="B71" s="6"/>
      <c r="C71" s="6" t="s">
        <v>197</v>
      </c>
      <c r="D71" s="11">
        <v>7500</v>
      </c>
      <c r="E71" s="14"/>
      <c r="F71" s="12">
        <f t="shared" si="1"/>
        <v>0</v>
      </c>
    </row>
    <row r="72" spans="1:6" ht="20.25" thickTop="1" thickBot="1" x14ac:dyDescent="0.3">
      <c r="A72" s="6" t="s">
        <v>211</v>
      </c>
      <c r="B72" s="6"/>
      <c r="C72" s="6" t="s">
        <v>197</v>
      </c>
      <c r="D72" s="11">
        <v>8300</v>
      </c>
      <c r="E72" s="14"/>
      <c r="F72" s="12">
        <f t="shared" si="1"/>
        <v>0</v>
      </c>
    </row>
    <row r="73" spans="1:6" ht="20.25" thickTop="1" thickBot="1" x14ac:dyDescent="0.3">
      <c r="A73" s="6" t="s">
        <v>212</v>
      </c>
      <c r="B73" s="6"/>
      <c r="C73" s="6" t="s">
        <v>197</v>
      </c>
      <c r="D73" s="11">
        <v>8750</v>
      </c>
      <c r="E73" s="14"/>
      <c r="F73" s="12">
        <f t="shared" si="1"/>
        <v>0</v>
      </c>
    </row>
    <row r="74" spans="1:6" ht="20.25" thickTop="1" thickBot="1" x14ac:dyDescent="0.3">
      <c r="A74" s="53"/>
      <c r="B74" s="54"/>
      <c r="C74" s="54"/>
      <c r="D74" s="54"/>
      <c r="E74" s="54"/>
      <c r="F74" s="54"/>
    </row>
    <row r="75" spans="1:6" ht="20.25" thickTop="1" thickBot="1" x14ac:dyDescent="0.3">
      <c r="A75" s="6" t="s">
        <v>213</v>
      </c>
      <c r="B75" s="6"/>
      <c r="C75" s="6" t="s">
        <v>197</v>
      </c>
      <c r="D75" s="11">
        <v>7250</v>
      </c>
      <c r="E75" s="14"/>
      <c r="F75" s="12">
        <f t="shared" si="1"/>
        <v>0</v>
      </c>
    </row>
    <row r="76" spans="1:6" ht="20.25" thickTop="1" thickBot="1" x14ac:dyDescent="0.3">
      <c r="A76" s="6" t="s">
        <v>214</v>
      </c>
      <c r="B76" s="6"/>
      <c r="C76" s="6" t="s">
        <v>197</v>
      </c>
      <c r="D76" s="11">
        <v>7900</v>
      </c>
      <c r="E76" s="14"/>
      <c r="F76" s="12">
        <f t="shared" si="1"/>
        <v>0</v>
      </c>
    </row>
    <row r="77" spans="1:6" ht="20.25" thickTop="1" thickBot="1" x14ac:dyDescent="0.3">
      <c r="A77" s="6" t="s">
        <v>215</v>
      </c>
      <c r="B77" s="6"/>
      <c r="C77" s="6" t="s">
        <v>197</v>
      </c>
      <c r="D77" s="11">
        <v>8550</v>
      </c>
      <c r="E77" s="14"/>
      <c r="F77" s="12">
        <f t="shared" si="1"/>
        <v>0</v>
      </c>
    </row>
    <row r="78" spans="1:6" ht="20.25" thickTop="1" thickBot="1" x14ac:dyDescent="0.3">
      <c r="A78" s="6" t="s">
        <v>216</v>
      </c>
      <c r="B78" s="6"/>
      <c r="C78" s="6" t="s">
        <v>197</v>
      </c>
      <c r="D78" s="11">
        <v>9350</v>
      </c>
      <c r="E78" s="14"/>
      <c r="F78" s="12">
        <f t="shared" si="1"/>
        <v>0</v>
      </c>
    </row>
    <row r="79" spans="1:6" ht="20.25" thickTop="1" thickBot="1" x14ac:dyDescent="0.3">
      <c r="A79" s="6" t="s">
        <v>217</v>
      </c>
      <c r="B79" s="6"/>
      <c r="C79" s="6" t="s">
        <v>197</v>
      </c>
      <c r="D79" s="11">
        <v>9800</v>
      </c>
      <c r="E79" s="14"/>
      <c r="F79" s="12">
        <f t="shared" si="1"/>
        <v>0</v>
      </c>
    </row>
    <row r="80" spans="1:6" ht="20.25" thickTop="1" thickBot="1" x14ac:dyDescent="0.3">
      <c r="A80" s="6"/>
      <c r="B80" s="6"/>
      <c r="C80" s="6"/>
      <c r="D80" s="11"/>
      <c r="E80" s="14"/>
      <c r="F80" s="12"/>
    </row>
    <row r="81" spans="1:6" ht="20.25" thickTop="1" thickBot="1" x14ac:dyDescent="0.3">
      <c r="A81" s="44" t="s">
        <v>270</v>
      </c>
      <c r="B81" s="45"/>
      <c r="C81" s="45"/>
      <c r="D81" s="45"/>
      <c r="E81" s="45"/>
      <c r="F81" s="45"/>
    </row>
    <row r="82" spans="1:6" ht="20.25" customHeight="1" thickTop="1" thickBot="1" x14ac:dyDescent="0.3">
      <c r="A82" s="56" t="s">
        <v>293</v>
      </c>
      <c r="B82" s="57"/>
      <c r="C82" s="57"/>
      <c r="D82" s="57"/>
      <c r="E82" s="57"/>
      <c r="F82" s="57"/>
    </row>
    <row r="83" spans="1:6" ht="27.75" customHeight="1" thickTop="1" thickBot="1" x14ac:dyDescent="0.3">
      <c r="A83" s="6" t="s">
        <v>271</v>
      </c>
      <c r="B83" s="6"/>
      <c r="C83" s="6" t="s">
        <v>270</v>
      </c>
      <c r="D83" s="11">
        <v>4751</v>
      </c>
      <c r="E83" s="14"/>
      <c r="F83" s="12">
        <f t="shared" si="1"/>
        <v>0</v>
      </c>
    </row>
    <row r="84" spans="1:6" ht="41.25" customHeight="1" thickTop="1" thickBot="1" x14ac:dyDescent="0.3">
      <c r="A84" s="6" t="s">
        <v>272</v>
      </c>
      <c r="B84" s="6"/>
      <c r="C84" s="6" t="s">
        <v>270</v>
      </c>
      <c r="D84" s="11">
        <v>5250</v>
      </c>
      <c r="E84" s="14"/>
      <c r="F84" s="12">
        <f t="shared" si="1"/>
        <v>0</v>
      </c>
    </row>
    <row r="85" spans="1:6" ht="20.25" customHeight="1" thickTop="1" thickBot="1" x14ac:dyDescent="0.3">
      <c r="A85" s="6"/>
      <c r="B85" s="6"/>
      <c r="C85" s="6" t="s">
        <v>270</v>
      </c>
      <c r="D85" s="11"/>
      <c r="E85" s="14"/>
      <c r="F85" s="12">
        <f t="shared" si="1"/>
        <v>0</v>
      </c>
    </row>
    <row r="86" spans="1:6" ht="20.25" customHeight="1" thickTop="1" thickBot="1" x14ac:dyDescent="0.3">
      <c r="A86" s="6" t="s">
        <v>274</v>
      </c>
      <c r="B86" s="6"/>
      <c r="C86" s="6" t="s">
        <v>270</v>
      </c>
      <c r="D86" s="11">
        <v>5750</v>
      </c>
      <c r="E86" s="14"/>
      <c r="F86" s="12">
        <f t="shared" si="1"/>
        <v>0</v>
      </c>
    </row>
    <row r="87" spans="1:6" ht="20.25" customHeight="1" thickTop="1" thickBot="1" x14ac:dyDescent="0.3">
      <c r="A87" s="6" t="s">
        <v>273</v>
      </c>
      <c r="B87" s="6"/>
      <c r="C87" s="6" t="s">
        <v>270</v>
      </c>
      <c r="D87" s="11">
        <v>6250</v>
      </c>
      <c r="E87" s="14"/>
      <c r="F87" s="12">
        <f t="shared" si="1"/>
        <v>0</v>
      </c>
    </row>
    <row r="88" spans="1:6" ht="20.25" customHeight="1" thickTop="1" thickBot="1" x14ac:dyDescent="0.3">
      <c r="A88" s="6"/>
      <c r="B88" s="6"/>
      <c r="C88" s="6" t="s">
        <v>270</v>
      </c>
      <c r="D88" s="11"/>
      <c r="E88" s="14"/>
      <c r="F88" s="12">
        <f t="shared" si="1"/>
        <v>0</v>
      </c>
    </row>
    <row r="89" spans="1:6" ht="20.25" customHeight="1" thickTop="1" thickBot="1" x14ac:dyDescent="0.3">
      <c r="A89" s="6" t="s">
        <v>275</v>
      </c>
      <c r="B89" s="6"/>
      <c r="C89" s="6" t="s">
        <v>270</v>
      </c>
      <c r="D89" s="11">
        <v>6250</v>
      </c>
      <c r="E89" s="14"/>
      <c r="F89" s="12">
        <f t="shared" si="1"/>
        <v>0</v>
      </c>
    </row>
    <row r="90" spans="1:6" ht="20.25" customHeight="1" thickTop="1" thickBot="1" x14ac:dyDescent="0.3">
      <c r="A90" s="6" t="s">
        <v>276</v>
      </c>
      <c r="B90" s="6"/>
      <c r="C90" s="6" t="s">
        <v>270</v>
      </c>
      <c r="D90" s="11">
        <v>6750</v>
      </c>
      <c r="E90" s="14"/>
      <c r="F90" s="12">
        <f t="shared" si="1"/>
        <v>0</v>
      </c>
    </row>
    <row r="91" spans="1:6" ht="20.25" customHeight="1" thickTop="1" thickBot="1" x14ac:dyDescent="0.3">
      <c r="A91" s="6"/>
      <c r="B91" s="6"/>
      <c r="C91" s="6" t="s">
        <v>270</v>
      </c>
      <c r="D91" s="11"/>
      <c r="E91" s="14"/>
      <c r="F91" s="12">
        <f t="shared" si="1"/>
        <v>0</v>
      </c>
    </row>
    <row r="92" spans="1:6" ht="20.25" customHeight="1" thickTop="1" thickBot="1" x14ac:dyDescent="0.3">
      <c r="A92" s="6" t="s">
        <v>277</v>
      </c>
      <c r="B92" s="6"/>
      <c r="C92" s="6" t="s">
        <v>270</v>
      </c>
      <c r="D92" s="11">
        <v>5050</v>
      </c>
      <c r="E92" s="14"/>
      <c r="F92" s="12">
        <f t="shared" si="1"/>
        <v>0</v>
      </c>
    </row>
    <row r="93" spans="1:6" ht="20.25" customHeight="1" thickTop="1" thickBot="1" x14ac:dyDescent="0.3">
      <c r="A93" s="6" t="s">
        <v>278</v>
      </c>
      <c r="B93" s="6"/>
      <c r="C93" s="6" t="s">
        <v>270</v>
      </c>
      <c r="D93" s="11">
        <v>5550</v>
      </c>
      <c r="E93" s="14"/>
      <c r="F93" s="12">
        <f t="shared" si="1"/>
        <v>0</v>
      </c>
    </row>
    <row r="94" spans="1:6" ht="20.25" customHeight="1" thickTop="1" thickBot="1" x14ac:dyDescent="0.3">
      <c r="A94" s="6"/>
      <c r="B94" s="6"/>
      <c r="C94" s="6" t="s">
        <v>270</v>
      </c>
      <c r="D94" s="11"/>
      <c r="E94" s="14"/>
      <c r="F94" s="12">
        <f t="shared" si="1"/>
        <v>0</v>
      </c>
    </row>
    <row r="95" spans="1:6" ht="20.25" customHeight="1" thickTop="1" thickBot="1" x14ac:dyDescent="0.3">
      <c r="A95" s="6" t="s">
        <v>279</v>
      </c>
      <c r="B95" s="6"/>
      <c r="C95" s="6" t="s">
        <v>270</v>
      </c>
      <c r="D95" s="11">
        <v>6050</v>
      </c>
      <c r="E95" s="14"/>
      <c r="F95" s="12">
        <f t="shared" si="1"/>
        <v>0</v>
      </c>
    </row>
    <row r="96" spans="1:6" ht="20.25" customHeight="1" thickTop="1" thickBot="1" x14ac:dyDescent="0.3">
      <c r="A96" s="6" t="s">
        <v>280</v>
      </c>
      <c r="B96" s="6"/>
      <c r="C96" s="6" t="s">
        <v>270</v>
      </c>
      <c r="D96" s="11">
        <v>6550</v>
      </c>
      <c r="E96" s="14"/>
      <c r="F96" s="12">
        <f t="shared" si="1"/>
        <v>0</v>
      </c>
    </row>
    <row r="97" spans="1:6" ht="20.25" customHeight="1" thickTop="1" thickBot="1" x14ac:dyDescent="0.3">
      <c r="A97" s="6"/>
      <c r="B97" s="6"/>
      <c r="C97" s="6" t="s">
        <v>270</v>
      </c>
      <c r="D97" s="11"/>
      <c r="E97" s="14"/>
      <c r="F97" s="12">
        <f t="shared" si="1"/>
        <v>0</v>
      </c>
    </row>
    <row r="98" spans="1:6" ht="20.25" customHeight="1" thickTop="1" thickBot="1" x14ac:dyDescent="0.3">
      <c r="A98" s="6" t="s">
        <v>281</v>
      </c>
      <c r="B98" s="6"/>
      <c r="C98" s="6" t="s">
        <v>270</v>
      </c>
      <c r="D98" s="11">
        <v>6550</v>
      </c>
      <c r="E98" s="14"/>
      <c r="F98" s="12">
        <f t="shared" si="1"/>
        <v>0</v>
      </c>
    </row>
    <row r="99" spans="1:6" ht="20.25" customHeight="1" thickTop="1" thickBot="1" x14ac:dyDescent="0.3">
      <c r="A99" s="6" t="s">
        <v>282</v>
      </c>
      <c r="B99" s="6"/>
      <c r="C99" s="6" t="s">
        <v>270</v>
      </c>
      <c r="D99" s="11">
        <v>7050</v>
      </c>
      <c r="E99" s="14"/>
      <c r="F99" s="12">
        <f t="shared" si="1"/>
        <v>0</v>
      </c>
    </row>
    <row r="100" spans="1:6" ht="20.25" customHeight="1" thickTop="1" thickBot="1" x14ac:dyDescent="0.3">
      <c r="A100" s="6"/>
      <c r="B100" s="6"/>
      <c r="C100" s="6" t="s">
        <v>270</v>
      </c>
      <c r="D100" s="11"/>
      <c r="E100" s="14"/>
      <c r="F100" s="12">
        <f t="shared" si="1"/>
        <v>0</v>
      </c>
    </row>
    <row r="101" spans="1:6" ht="48.75" customHeight="1" thickTop="1" thickBot="1" x14ac:dyDescent="0.3">
      <c r="A101" s="6" t="s">
        <v>283</v>
      </c>
      <c r="B101" s="6"/>
      <c r="C101" s="6" t="s">
        <v>270</v>
      </c>
      <c r="D101" s="11">
        <v>7050</v>
      </c>
      <c r="E101" s="14"/>
      <c r="F101" s="12">
        <f t="shared" si="1"/>
        <v>0</v>
      </c>
    </row>
    <row r="102" spans="1:6" ht="41.25" customHeight="1" thickTop="1" thickBot="1" x14ac:dyDescent="0.3">
      <c r="A102" s="6" t="s">
        <v>284</v>
      </c>
      <c r="B102" s="6"/>
      <c r="C102" s="6" t="s">
        <v>270</v>
      </c>
      <c r="D102" s="11">
        <v>7550</v>
      </c>
      <c r="E102" s="14"/>
      <c r="F102" s="12">
        <f t="shared" si="1"/>
        <v>0</v>
      </c>
    </row>
    <row r="103" spans="1:6" ht="20.25" customHeight="1" thickTop="1" thickBot="1" x14ac:dyDescent="0.3">
      <c r="A103" s="6"/>
      <c r="B103" s="6"/>
      <c r="C103" s="6" t="s">
        <v>270</v>
      </c>
      <c r="D103" s="11"/>
      <c r="E103" s="14"/>
      <c r="F103" s="12">
        <f t="shared" si="1"/>
        <v>0</v>
      </c>
    </row>
    <row r="104" spans="1:6" ht="20.25" customHeight="1" thickTop="1" thickBot="1" x14ac:dyDescent="0.3">
      <c r="A104" s="6" t="s">
        <v>285</v>
      </c>
      <c r="B104" s="6"/>
      <c r="C104" s="6" t="s">
        <v>270</v>
      </c>
      <c r="D104" s="11">
        <v>5450</v>
      </c>
      <c r="E104" s="14"/>
      <c r="F104" s="12">
        <f t="shared" si="1"/>
        <v>0</v>
      </c>
    </row>
    <row r="105" spans="1:6" ht="42" customHeight="1" thickTop="1" thickBot="1" x14ac:dyDescent="0.3">
      <c r="A105" s="6" t="s">
        <v>286</v>
      </c>
      <c r="B105" s="6"/>
      <c r="C105" s="6" t="s">
        <v>270</v>
      </c>
      <c r="D105" s="11">
        <v>5950</v>
      </c>
      <c r="E105" s="14"/>
      <c r="F105" s="12">
        <f t="shared" si="1"/>
        <v>0</v>
      </c>
    </row>
    <row r="106" spans="1:6" ht="20.25" customHeight="1" thickTop="1" thickBot="1" x14ac:dyDescent="0.3">
      <c r="A106" s="6"/>
      <c r="B106" s="6"/>
      <c r="C106" s="6" t="s">
        <v>270</v>
      </c>
      <c r="D106" s="11"/>
      <c r="E106" s="14"/>
      <c r="F106" s="12">
        <f t="shared" si="1"/>
        <v>0</v>
      </c>
    </row>
    <row r="107" spans="1:6" ht="20.25" customHeight="1" thickTop="1" thickBot="1" x14ac:dyDescent="0.3">
      <c r="A107" s="6" t="s">
        <v>287</v>
      </c>
      <c r="B107" s="6"/>
      <c r="C107" s="6" t="s">
        <v>270</v>
      </c>
      <c r="D107" s="11">
        <v>6950</v>
      </c>
      <c r="E107" s="14"/>
      <c r="F107" s="12">
        <f t="shared" si="1"/>
        <v>0</v>
      </c>
    </row>
    <row r="108" spans="1:6" ht="20.25" customHeight="1" thickTop="1" thickBot="1" x14ac:dyDescent="0.3">
      <c r="A108" s="6" t="s">
        <v>288</v>
      </c>
      <c r="B108" s="6"/>
      <c r="C108" s="6" t="s">
        <v>270</v>
      </c>
      <c r="D108" s="11">
        <v>7450</v>
      </c>
      <c r="E108" s="14"/>
      <c r="F108" s="12">
        <f t="shared" si="1"/>
        <v>0</v>
      </c>
    </row>
    <row r="109" spans="1:6" ht="20.25" customHeight="1" thickTop="1" thickBot="1" x14ac:dyDescent="0.3">
      <c r="A109" s="56" t="s">
        <v>294</v>
      </c>
      <c r="B109" s="57"/>
      <c r="C109" s="57"/>
      <c r="D109" s="57"/>
      <c r="E109" s="57"/>
      <c r="F109" s="57"/>
    </row>
    <row r="110" spans="1:6" ht="20.25" customHeight="1" thickTop="1" thickBot="1" x14ac:dyDescent="0.3">
      <c r="A110" s="6" t="s">
        <v>289</v>
      </c>
      <c r="B110" s="6"/>
      <c r="C110" s="6" t="s">
        <v>270</v>
      </c>
      <c r="D110" s="11">
        <v>6700</v>
      </c>
      <c r="E110" s="14"/>
      <c r="F110" s="13">
        <f>D110*E110</f>
        <v>0</v>
      </c>
    </row>
    <row r="111" spans="1:6" ht="20.25" customHeight="1" thickTop="1" thickBot="1" x14ac:dyDescent="0.3">
      <c r="A111" s="6" t="s">
        <v>290</v>
      </c>
      <c r="B111" s="6"/>
      <c r="C111" s="6" t="s">
        <v>270</v>
      </c>
      <c r="D111" s="11">
        <v>6900</v>
      </c>
      <c r="E111" s="14"/>
      <c r="F111" s="13">
        <f>D111*E111</f>
        <v>0</v>
      </c>
    </row>
    <row r="112" spans="1:6" ht="20.25" customHeight="1" thickTop="1" thickBot="1" x14ac:dyDescent="0.3">
      <c r="A112" s="6" t="s">
        <v>291</v>
      </c>
      <c r="B112" s="6"/>
      <c r="C112" s="6" t="s">
        <v>270</v>
      </c>
      <c r="D112" s="11">
        <v>6300</v>
      </c>
      <c r="E112" s="14"/>
      <c r="F112" s="13">
        <f>D112*E112</f>
        <v>0</v>
      </c>
    </row>
    <row r="113" spans="1:6" ht="20.25" customHeight="1" thickTop="1" thickBot="1" x14ac:dyDescent="0.3">
      <c r="A113" s="6" t="s">
        <v>292</v>
      </c>
      <c r="B113" s="6"/>
      <c r="C113" s="6" t="s">
        <v>270</v>
      </c>
      <c r="D113" s="11">
        <v>6500</v>
      </c>
      <c r="E113" s="14"/>
      <c r="F113" s="13">
        <f>D113*E113</f>
        <v>0</v>
      </c>
    </row>
    <row r="114" spans="1:6" ht="20.25" customHeight="1" thickTop="1" thickBot="1" x14ac:dyDescent="0.3">
      <c r="A114" s="56" t="s">
        <v>295</v>
      </c>
      <c r="B114" s="57"/>
      <c r="C114" s="57"/>
      <c r="D114" s="57"/>
      <c r="E114" s="57"/>
      <c r="F114" s="57"/>
    </row>
    <row r="115" spans="1:6" ht="20.25" customHeight="1" thickTop="1" thickBot="1" x14ac:dyDescent="0.3">
      <c r="A115" s="6" t="s">
        <v>296</v>
      </c>
      <c r="B115" s="6"/>
      <c r="C115" s="6" t="s">
        <v>270</v>
      </c>
      <c r="D115" s="11">
        <v>13200</v>
      </c>
      <c r="E115" s="14"/>
      <c r="F115" s="13">
        <f>E115*D115</f>
        <v>0</v>
      </c>
    </row>
    <row r="116" spans="1:6" ht="39" thickTop="1" thickBot="1" x14ac:dyDescent="0.3">
      <c r="A116" s="6" t="s">
        <v>297</v>
      </c>
      <c r="B116" s="6"/>
      <c r="C116" s="6" t="s">
        <v>270</v>
      </c>
      <c r="D116" s="11">
        <v>16000</v>
      </c>
      <c r="E116" s="14"/>
      <c r="F116" s="13">
        <f t="shared" ref="F116:F121" si="3">E116*D116</f>
        <v>0</v>
      </c>
    </row>
    <row r="117" spans="1:6" ht="132.75" thickTop="1" thickBot="1" x14ac:dyDescent="0.3">
      <c r="A117" s="6" t="s">
        <v>298</v>
      </c>
      <c r="B117" s="6"/>
      <c r="C117" s="6" t="s">
        <v>270</v>
      </c>
      <c r="D117" s="11">
        <v>16220</v>
      </c>
      <c r="E117" s="14"/>
      <c r="F117" s="13">
        <f t="shared" si="3"/>
        <v>0</v>
      </c>
    </row>
    <row r="118" spans="1:6" ht="20.25" thickTop="1" thickBot="1" x14ac:dyDescent="0.3">
      <c r="A118" s="6" t="s">
        <v>299</v>
      </c>
      <c r="B118" s="6"/>
      <c r="C118" s="6" t="s">
        <v>270</v>
      </c>
      <c r="D118" s="11">
        <v>16850</v>
      </c>
      <c r="E118" s="14"/>
      <c r="F118" s="13">
        <f t="shared" si="3"/>
        <v>0</v>
      </c>
    </row>
    <row r="119" spans="1:6" ht="57.75" thickTop="1" thickBot="1" x14ac:dyDescent="0.3">
      <c r="A119" s="6" t="s">
        <v>300</v>
      </c>
      <c r="B119" s="6"/>
      <c r="C119" s="6" t="s">
        <v>270</v>
      </c>
      <c r="D119" s="11">
        <v>17160</v>
      </c>
      <c r="E119" s="14"/>
      <c r="F119" s="13">
        <f t="shared" si="3"/>
        <v>0</v>
      </c>
    </row>
    <row r="120" spans="1:6" ht="39" thickTop="1" thickBot="1" x14ac:dyDescent="0.3">
      <c r="A120" s="6" t="s">
        <v>301</v>
      </c>
      <c r="B120" s="6"/>
      <c r="C120" s="6" t="s">
        <v>270</v>
      </c>
      <c r="D120" s="11">
        <v>17520</v>
      </c>
      <c r="E120" s="14"/>
      <c r="F120" s="13">
        <f t="shared" si="3"/>
        <v>0</v>
      </c>
    </row>
    <row r="121" spans="1:6" ht="20.25" thickTop="1" thickBot="1" x14ac:dyDescent="0.3">
      <c r="A121" s="6" t="s">
        <v>302</v>
      </c>
      <c r="B121" s="6"/>
      <c r="C121" s="6" t="s">
        <v>270</v>
      </c>
      <c r="D121" s="11">
        <v>20180</v>
      </c>
      <c r="E121" s="14"/>
      <c r="F121" s="13">
        <f t="shared" si="3"/>
        <v>0</v>
      </c>
    </row>
    <row r="122" spans="1:6" ht="22.5" thickTop="1" thickBot="1" x14ac:dyDescent="0.3">
      <c r="A122" s="49" t="s">
        <v>232</v>
      </c>
      <c r="B122" s="50"/>
      <c r="C122" s="50"/>
      <c r="D122" s="50"/>
      <c r="E122" s="50"/>
      <c r="F122" s="50"/>
    </row>
    <row r="123" spans="1:6" ht="20.25" thickTop="1" thickBot="1" x14ac:dyDescent="0.3">
      <c r="A123" s="6" t="s">
        <v>219</v>
      </c>
      <c r="B123" s="6"/>
      <c r="C123" s="6" t="s">
        <v>218</v>
      </c>
      <c r="D123" s="11">
        <v>9600</v>
      </c>
      <c r="E123" s="14"/>
      <c r="F123" s="12">
        <f t="shared" si="1"/>
        <v>0</v>
      </c>
    </row>
    <row r="124" spans="1:6" ht="20.25" thickTop="1" thickBot="1" x14ac:dyDescent="0.3">
      <c r="A124" s="6" t="s">
        <v>220</v>
      </c>
      <c r="B124" s="6"/>
      <c r="C124" s="6" t="s">
        <v>218</v>
      </c>
      <c r="D124" s="11">
        <v>14400</v>
      </c>
      <c r="E124" s="14"/>
      <c r="F124" s="12">
        <f t="shared" si="1"/>
        <v>0</v>
      </c>
    </row>
    <row r="125" spans="1:6" ht="20.25" thickTop="1" thickBot="1" x14ac:dyDescent="0.3">
      <c r="A125" s="6" t="s">
        <v>221</v>
      </c>
      <c r="B125" s="6"/>
      <c r="C125" s="6" t="s">
        <v>218</v>
      </c>
      <c r="D125" s="11">
        <v>14500</v>
      </c>
      <c r="E125" s="14"/>
      <c r="F125" s="12">
        <f t="shared" si="1"/>
        <v>0</v>
      </c>
    </row>
    <row r="126" spans="1:6" ht="20.25" thickTop="1" thickBot="1" x14ac:dyDescent="0.3">
      <c r="A126" s="6" t="s">
        <v>225</v>
      </c>
      <c r="B126" s="6"/>
      <c r="C126" s="6" t="s">
        <v>218</v>
      </c>
      <c r="D126" s="11">
        <v>17400</v>
      </c>
      <c r="E126" s="14"/>
      <c r="F126" s="12">
        <f t="shared" si="1"/>
        <v>0</v>
      </c>
    </row>
    <row r="127" spans="1:6" ht="20.25" thickTop="1" thickBot="1" x14ac:dyDescent="0.3">
      <c r="A127" s="6" t="s">
        <v>222</v>
      </c>
      <c r="B127" s="6"/>
      <c r="C127" s="6" t="s">
        <v>218</v>
      </c>
      <c r="D127" s="11">
        <v>0</v>
      </c>
      <c r="E127" s="14"/>
      <c r="F127" s="12">
        <f t="shared" si="1"/>
        <v>0</v>
      </c>
    </row>
    <row r="128" spans="1:6" ht="20.25" thickTop="1" thickBot="1" x14ac:dyDescent="0.3">
      <c r="A128" s="6" t="s">
        <v>223</v>
      </c>
      <c r="B128" s="6"/>
      <c r="C128" s="6" t="s">
        <v>218</v>
      </c>
      <c r="D128" s="11">
        <v>0</v>
      </c>
      <c r="E128" s="14"/>
      <c r="F128" s="12">
        <f t="shared" si="1"/>
        <v>0</v>
      </c>
    </row>
    <row r="129" spans="1:6" ht="20.25" thickTop="1" thickBot="1" x14ac:dyDescent="0.3">
      <c r="A129" s="6" t="s">
        <v>224</v>
      </c>
      <c r="B129" s="6"/>
      <c r="C129" s="6" t="s">
        <v>218</v>
      </c>
      <c r="D129" s="11">
        <v>0</v>
      </c>
      <c r="E129" s="14"/>
      <c r="F129" s="12">
        <f t="shared" si="1"/>
        <v>0</v>
      </c>
    </row>
    <row r="130" spans="1:6" ht="20.25" thickTop="1" thickBot="1" x14ac:dyDescent="0.3">
      <c r="A130" s="6" t="s">
        <v>226</v>
      </c>
      <c r="B130" s="6"/>
      <c r="C130" s="6" t="s">
        <v>218</v>
      </c>
      <c r="D130" s="11">
        <v>0</v>
      </c>
      <c r="E130" s="14"/>
      <c r="F130" s="12">
        <f t="shared" si="1"/>
        <v>0</v>
      </c>
    </row>
    <row r="131" spans="1:6" ht="20.25" thickTop="1" thickBot="1" x14ac:dyDescent="0.3">
      <c r="A131" s="6" t="s">
        <v>313</v>
      </c>
      <c r="B131" s="6"/>
      <c r="C131" s="6" t="s">
        <v>218</v>
      </c>
      <c r="D131" s="11">
        <v>80000</v>
      </c>
      <c r="E131" s="14"/>
      <c r="F131" s="13">
        <f t="shared" si="1"/>
        <v>0</v>
      </c>
    </row>
    <row r="132" spans="1:6" ht="24.75" thickTop="1" thickBot="1" x14ac:dyDescent="0.3">
      <c r="A132" s="46" t="s">
        <v>140</v>
      </c>
      <c r="B132" s="47"/>
      <c r="C132" s="47"/>
      <c r="D132" s="47"/>
      <c r="E132" s="47"/>
      <c r="F132" s="47"/>
    </row>
    <row r="133" spans="1:6" ht="20.25" thickTop="1" thickBot="1" x14ac:dyDescent="0.3">
      <c r="A133" s="6" t="s">
        <v>140</v>
      </c>
      <c r="B133" s="6"/>
      <c r="C133" s="6"/>
      <c r="D133" s="11">
        <v>11000</v>
      </c>
      <c r="E133" s="14">
        <v>0</v>
      </c>
      <c r="F133" s="13">
        <f>D133*E133</f>
        <v>0</v>
      </c>
    </row>
    <row r="134" spans="1:6" ht="22.5" thickTop="1" thickBot="1" x14ac:dyDescent="0.3">
      <c r="A134" s="58" t="s">
        <v>309</v>
      </c>
      <c r="B134" s="59"/>
      <c r="C134" s="59"/>
      <c r="D134" s="59"/>
      <c r="E134" s="59"/>
      <c r="F134" s="60"/>
    </row>
    <row r="135" spans="1:6" ht="20.25" thickTop="1" thickBot="1" x14ac:dyDescent="0.3">
      <c r="A135" s="6" t="s">
        <v>159</v>
      </c>
      <c r="B135" s="6"/>
      <c r="C135" s="6"/>
      <c r="D135" s="11">
        <v>4250</v>
      </c>
      <c r="E135" s="28"/>
      <c r="F135" s="12">
        <f>D135*E135</f>
        <v>0</v>
      </c>
    </row>
    <row r="136" spans="1:6" ht="20.25" thickTop="1" thickBot="1" x14ac:dyDescent="0.3">
      <c r="A136" s="6" t="s">
        <v>160</v>
      </c>
      <c r="B136" s="6"/>
      <c r="C136" s="6"/>
      <c r="D136" s="11">
        <v>2000</v>
      </c>
      <c r="E136" s="28"/>
      <c r="F136" s="12">
        <f>D136*E136</f>
        <v>0</v>
      </c>
    </row>
    <row r="137" spans="1:6" ht="20.25" thickTop="1" thickBot="1" x14ac:dyDescent="0.3">
      <c r="A137" s="6" t="s">
        <v>161</v>
      </c>
      <c r="B137" s="6"/>
      <c r="C137" s="6"/>
      <c r="D137" s="11">
        <v>2500</v>
      </c>
      <c r="E137" s="28">
        <v>0</v>
      </c>
      <c r="F137" s="12">
        <f>D137*E137</f>
        <v>0</v>
      </c>
    </row>
    <row r="138" spans="1:6" ht="20.25" thickTop="1" thickBot="1" x14ac:dyDescent="0.3">
      <c r="A138" s="6" t="s">
        <v>310</v>
      </c>
      <c r="B138" s="6"/>
      <c r="C138" s="6"/>
      <c r="D138" s="11"/>
      <c r="E138" s="28"/>
      <c r="F138" s="13"/>
    </row>
    <row r="139" spans="1:6" ht="20.25" thickTop="1" thickBot="1" x14ac:dyDescent="0.3">
      <c r="A139" s="6" t="s">
        <v>311</v>
      </c>
      <c r="B139" s="6"/>
      <c r="C139" s="6"/>
      <c r="D139" s="11"/>
      <c r="E139" s="28"/>
      <c r="F139" s="13"/>
    </row>
    <row r="140" spans="1:6" ht="20.25" thickTop="1" thickBot="1" x14ac:dyDescent="0.3">
      <c r="A140" s="6" t="s">
        <v>312</v>
      </c>
      <c r="B140" s="6"/>
      <c r="C140" s="6"/>
      <c r="D140" s="11"/>
      <c r="E140" s="28"/>
      <c r="F140" s="13"/>
    </row>
    <row r="141" spans="1:6" ht="24.75" thickTop="1" thickBot="1" x14ac:dyDescent="0.3">
      <c r="A141" s="46" t="s">
        <v>37</v>
      </c>
      <c r="B141" s="47"/>
      <c r="C141" s="47"/>
      <c r="D141" s="47"/>
      <c r="E141" s="47"/>
      <c r="F141" s="48"/>
    </row>
    <row r="142" spans="1:6" ht="22.5" thickTop="1" thickBot="1" x14ac:dyDescent="0.3">
      <c r="A142" s="49" t="s">
        <v>46</v>
      </c>
      <c r="B142" s="50"/>
      <c r="C142" s="50"/>
      <c r="D142" s="50"/>
      <c r="E142" s="50"/>
      <c r="F142" s="55"/>
    </row>
    <row r="143" spans="1:6" ht="20.25" thickTop="1" thickBot="1" x14ac:dyDescent="0.3">
      <c r="A143" s="6" t="s">
        <v>325</v>
      </c>
      <c r="B143" s="6"/>
      <c r="C143" s="6" t="s">
        <v>189</v>
      </c>
      <c r="D143" s="11">
        <v>165</v>
      </c>
      <c r="E143" s="14">
        <v>18</v>
      </c>
      <c r="F143" s="12">
        <f>D143*E143</f>
        <v>2970</v>
      </c>
    </row>
    <row r="144" spans="1:6" ht="20.25" thickTop="1" thickBot="1" x14ac:dyDescent="0.3">
      <c r="A144" s="6" t="s">
        <v>330</v>
      </c>
      <c r="B144" s="6"/>
      <c r="C144" s="6" t="s">
        <v>189</v>
      </c>
      <c r="D144" s="11">
        <v>165</v>
      </c>
      <c r="E144" s="14"/>
      <c r="F144" s="12">
        <f>D144*E144</f>
        <v>0</v>
      </c>
    </row>
    <row r="145" spans="1:6" ht="20.25" thickTop="1" thickBot="1" x14ac:dyDescent="0.3">
      <c r="A145" s="6" t="s">
        <v>326</v>
      </c>
      <c r="B145" s="6"/>
      <c r="C145" s="6" t="s">
        <v>189</v>
      </c>
      <c r="D145" s="11">
        <v>45</v>
      </c>
      <c r="E145" s="14"/>
      <c r="F145" s="12"/>
    </row>
    <row r="146" spans="1:6" ht="20.25" thickTop="1" thickBot="1" x14ac:dyDescent="0.3">
      <c r="A146" s="6" t="s">
        <v>327</v>
      </c>
      <c r="B146" s="6"/>
      <c r="C146" s="6" t="s">
        <v>189</v>
      </c>
      <c r="D146" s="11">
        <v>310</v>
      </c>
      <c r="E146" s="14"/>
      <c r="F146" s="12">
        <f>D146*E146</f>
        <v>0</v>
      </c>
    </row>
    <row r="147" spans="1:6" ht="39" thickTop="1" thickBot="1" x14ac:dyDescent="0.3">
      <c r="A147" s="6" t="s">
        <v>328</v>
      </c>
      <c r="B147" s="6"/>
      <c r="C147" s="6" t="s">
        <v>189</v>
      </c>
      <c r="D147" s="11">
        <v>170</v>
      </c>
      <c r="E147" s="14"/>
      <c r="F147" s="12"/>
    </row>
    <row r="148" spans="1:6" ht="39" thickTop="1" thickBot="1" x14ac:dyDescent="0.3">
      <c r="A148" s="6" t="s">
        <v>329</v>
      </c>
      <c r="B148" s="6"/>
      <c r="C148" s="6" t="s">
        <v>189</v>
      </c>
      <c r="D148" s="11">
        <v>157</v>
      </c>
      <c r="E148" s="14"/>
      <c r="F148" s="12"/>
    </row>
    <row r="149" spans="1:6" ht="39" thickTop="1" thickBot="1" x14ac:dyDescent="0.3">
      <c r="A149" s="6" t="s">
        <v>78</v>
      </c>
      <c r="B149" s="6"/>
      <c r="C149" s="6" t="s">
        <v>189</v>
      </c>
      <c r="D149" s="11">
        <v>150</v>
      </c>
      <c r="E149" s="14"/>
      <c r="F149" s="12">
        <f>D149*E149</f>
        <v>0</v>
      </c>
    </row>
    <row r="150" spans="1:6" ht="22.5" thickTop="1" thickBot="1" x14ac:dyDescent="0.3">
      <c r="A150" s="49" t="s">
        <v>45</v>
      </c>
      <c r="B150" s="50"/>
      <c r="C150" s="50"/>
      <c r="D150" s="50"/>
      <c r="E150" s="50"/>
      <c r="F150" s="55"/>
    </row>
    <row r="151" spans="1:6" ht="20.25" thickTop="1" thickBot="1" x14ac:dyDescent="0.3">
      <c r="A151" s="6" t="s">
        <v>331</v>
      </c>
      <c r="B151" s="6"/>
      <c r="C151" s="6" t="s">
        <v>189</v>
      </c>
      <c r="D151" s="11">
        <v>490</v>
      </c>
      <c r="E151" s="14">
        <v>0</v>
      </c>
      <c r="F151" s="12">
        <f>D151*E151</f>
        <v>0</v>
      </c>
    </row>
    <row r="152" spans="1:6" ht="20.25" thickTop="1" thickBot="1" x14ac:dyDescent="0.3">
      <c r="A152" s="6" t="s">
        <v>332</v>
      </c>
      <c r="B152" s="6"/>
      <c r="C152" s="6" t="s">
        <v>189</v>
      </c>
      <c r="D152" s="11">
        <v>584</v>
      </c>
      <c r="E152" s="14"/>
      <c r="F152" s="12">
        <f t="shared" ref="F152:F158" si="4">D152*E152</f>
        <v>0</v>
      </c>
    </row>
    <row r="153" spans="1:6" ht="20.25" thickTop="1" thickBot="1" x14ac:dyDescent="0.3">
      <c r="A153" s="6" t="s">
        <v>333</v>
      </c>
      <c r="B153" s="6"/>
      <c r="C153" s="6" t="s">
        <v>189</v>
      </c>
      <c r="D153" s="11">
        <v>590</v>
      </c>
      <c r="E153" s="14"/>
      <c r="F153" s="12">
        <f t="shared" si="4"/>
        <v>0</v>
      </c>
    </row>
    <row r="154" spans="1:6" ht="20.25" thickTop="1" thickBot="1" x14ac:dyDescent="0.3">
      <c r="A154" s="6" t="s">
        <v>334</v>
      </c>
      <c r="B154" s="6"/>
      <c r="C154" s="6" t="s">
        <v>189</v>
      </c>
      <c r="D154" s="11">
        <v>951</v>
      </c>
      <c r="E154" s="14"/>
      <c r="F154" s="12">
        <f t="shared" si="4"/>
        <v>0</v>
      </c>
    </row>
    <row r="155" spans="1:6" ht="20.25" thickTop="1" thickBot="1" x14ac:dyDescent="0.3">
      <c r="A155" s="6" t="s">
        <v>335</v>
      </c>
      <c r="B155" s="6"/>
      <c r="C155" s="6" t="s">
        <v>189</v>
      </c>
      <c r="D155" s="11">
        <v>975</v>
      </c>
      <c r="E155" s="14"/>
      <c r="F155" s="12">
        <f t="shared" si="4"/>
        <v>0</v>
      </c>
    </row>
    <row r="156" spans="1:6" ht="20.25" thickTop="1" thickBot="1" x14ac:dyDescent="0.3">
      <c r="A156" s="6" t="s">
        <v>336</v>
      </c>
      <c r="B156" s="6"/>
      <c r="C156" s="6" t="s">
        <v>189</v>
      </c>
      <c r="D156" s="11">
        <v>1701</v>
      </c>
      <c r="E156" s="28">
        <v>0</v>
      </c>
      <c r="F156" s="12">
        <f t="shared" si="4"/>
        <v>0</v>
      </c>
    </row>
    <row r="157" spans="1:6" ht="39" thickTop="1" thickBot="1" x14ac:dyDescent="0.3">
      <c r="A157" s="6" t="s">
        <v>337</v>
      </c>
      <c r="B157" s="6"/>
      <c r="C157" s="6" t="s">
        <v>189</v>
      </c>
      <c r="D157" s="11">
        <v>462</v>
      </c>
      <c r="E157" s="28"/>
      <c r="F157" s="12">
        <f t="shared" si="4"/>
        <v>0</v>
      </c>
    </row>
    <row r="158" spans="1:6" ht="39" thickTop="1" thickBot="1" x14ac:dyDescent="0.3">
      <c r="A158" s="6" t="s">
        <v>338</v>
      </c>
      <c r="B158" s="6"/>
      <c r="C158" s="6" t="s">
        <v>189</v>
      </c>
      <c r="D158" s="11">
        <v>589</v>
      </c>
      <c r="E158" s="14">
        <v>0</v>
      </c>
      <c r="F158" s="12">
        <f t="shared" si="4"/>
        <v>0</v>
      </c>
    </row>
    <row r="159" spans="1:6" ht="24.75" thickTop="1" thickBot="1" x14ac:dyDescent="0.3">
      <c r="A159" s="61" t="s">
        <v>233</v>
      </c>
      <c r="B159" s="62"/>
      <c r="C159" s="62"/>
      <c r="D159" s="62"/>
      <c r="E159" s="62"/>
      <c r="F159" s="62"/>
    </row>
    <row r="160" spans="1:6" ht="20.25" thickTop="1" thickBot="1" x14ac:dyDescent="0.3">
      <c r="A160" s="6" t="s">
        <v>234</v>
      </c>
      <c r="B160" s="6"/>
      <c r="C160" s="6" t="s">
        <v>260</v>
      </c>
      <c r="D160" s="11">
        <v>357</v>
      </c>
      <c r="E160" s="14"/>
      <c r="F160" s="13">
        <f>E160*D160</f>
        <v>0</v>
      </c>
    </row>
    <row r="161" spans="1:6" ht="20.25" thickTop="1" thickBot="1" x14ac:dyDescent="0.3">
      <c r="A161" s="6" t="s">
        <v>235</v>
      </c>
      <c r="B161" s="6"/>
      <c r="C161" s="6" t="s">
        <v>260</v>
      </c>
      <c r="D161" s="11">
        <v>407</v>
      </c>
      <c r="E161" s="14"/>
      <c r="F161" s="13">
        <f t="shared" ref="F161:F168" si="5">E161*D161</f>
        <v>0</v>
      </c>
    </row>
    <row r="162" spans="1:6" ht="20.25" thickTop="1" thickBot="1" x14ac:dyDescent="0.3">
      <c r="A162" s="6" t="s">
        <v>236</v>
      </c>
      <c r="B162" s="6"/>
      <c r="C162" s="6" t="s">
        <v>260</v>
      </c>
      <c r="D162" s="11">
        <v>427</v>
      </c>
      <c r="E162" s="14"/>
      <c r="F162" s="13">
        <f t="shared" si="5"/>
        <v>0</v>
      </c>
    </row>
    <row r="163" spans="1:6" ht="20.25" thickTop="1" thickBot="1" x14ac:dyDescent="0.3">
      <c r="A163" s="6" t="s">
        <v>237</v>
      </c>
      <c r="B163" s="6"/>
      <c r="C163" s="6" t="s">
        <v>260</v>
      </c>
      <c r="D163" s="11">
        <v>603</v>
      </c>
      <c r="E163" s="14"/>
      <c r="F163" s="13">
        <f t="shared" si="5"/>
        <v>0</v>
      </c>
    </row>
    <row r="164" spans="1:6" ht="20.25" thickTop="1" thickBot="1" x14ac:dyDescent="0.3">
      <c r="A164" s="6" t="s">
        <v>238</v>
      </c>
      <c r="B164" s="6"/>
      <c r="C164" s="6" t="s">
        <v>260</v>
      </c>
      <c r="D164" s="11">
        <v>784</v>
      </c>
      <c r="E164" s="14"/>
      <c r="F164" s="13">
        <f t="shared" si="5"/>
        <v>0</v>
      </c>
    </row>
    <row r="165" spans="1:6" ht="20.25" thickTop="1" thickBot="1" x14ac:dyDescent="0.3">
      <c r="A165" s="6" t="s">
        <v>239</v>
      </c>
      <c r="B165" s="6"/>
      <c r="C165" s="6" t="s">
        <v>260</v>
      </c>
      <c r="D165" s="11">
        <v>172</v>
      </c>
      <c r="E165" s="14"/>
      <c r="F165" s="13">
        <f t="shared" si="5"/>
        <v>0</v>
      </c>
    </row>
    <row r="166" spans="1:6" ht="20.25" thickTop="1" thickBot="1" x14ac:dyDescent="0.3">
      <c r="A166" s="6" t="s">
        <v>240</v>
      </c>
      <c r="B166" s="6"/>
      <c r="C166" s="6" t="s">
        <v>260</v>
      </c>
      <c r="D166" s="11">
        <v>653</v>
      </c>
      <c r="E166" s="14"/>
      <c r="F166" s="13">
        <f t="shared" si="5"/>
        <v>0</v>
      </c>
    </row>
    <row r="167" spans="1:6" ht="20.25" thickTop="1" thickBot="1" x14ac:dyDescent="0.3">
      <c r="A167" s="6" t="s">
        <v>241</v>
      </c>
      <c r="B167" s="6"/>
      <c r="C167" s="6" t="s">
        <v>260</v>
      </c>
      <c r="D167" s="11">
        <v>535</v>
      </c>
      <c r="E167" s="14"/>
      <c r="F167" s="13">
        <f t="shared" si="5"/>
        <v>0</v>
      </c>
    </row>
    <row r="168" spans="1:6" ht="20.25" thickTop="1" thickBot="1" x14ac:dyDescent="0.3">
      <c r="A168" s="6" t="s">
        <v>242</v>
      </c>
      <c r="B168" s="6"/>
      <c r="C168" s="6" t="s">
        <v>260</v>
      </c>
      <c r="D168" s="11">
        <v>523</v>
      </c>
      <c r="E168" s="14"/>
      <c r="F168" s="13">
        <f t="shared" si="5"/>
        <v>0</v>
      </c>
    </row>
    <row r="169" spans="1:6" ht="22.5" thickTop="1" thickBot="1" x14ac:dyDescent="0.3">
      <c r="A169" s="49" t="s">
        <v>47</v>
      </c>
      <c r="B169" s="50"/>
      <c r="C169" s="50"/>
      <c r="D169" s="50"/>
      <c r="E169" s="50"/>
      <c r="F169" s="55"/>
    </row>
    <row r="170" spans="1:6" ht="20.25" thickTop="1" thickBot="1" x14ac:dyDescent="0.3">
      <c r="A170" s="6" t="s">
        <v>339</v>
      </c>
      <c r="B170" s="6"/>
      <c r="C170" s="6" t="s">
        <v>189</v>
      </c>
      <c r="D170" s="11">
        <v>14000</v>
      </c>
      <c r="E170" s="14"/>
      <c r="F170" s="12">
        <f>D170*E170</f>
        <v>0</v>
      </c>
    </row>
    <row r="171" spans="1:6" ht="39" thickTop="1" thickBot="1" x14ac:dyDescent="0.3">
      <c r="A171" s="6" t="s">
        <v>340</v>
      </c>
      <c r="B171" s="6"/>
      <c r="C171" s="6" t="s">
        <v>189</v>
      </c>
      <c r="D171" s="11">
        <v>2311</v>
      </c>
      <c r="E171" s="14"/>
      <c r="F171" s="12">
        <f t="shared" ref="F171:F178" si="6">D171*E171</f>
        <v>0</v>
      </c>
    </row>
    <row r="172" spans="1:6" ht="39" thickTop="1" thickBot="1" x14ac:dyDescent="0.3">
      <c r="A172" s="6" t="s">
        <v>342</v>
      </c>
      <c r="B172" s="6"/>
      <c r="C172" s="6" t="s">
        <v>189</v>
      </c>
      <c r="D172" s="11">
        <v>3869</v>
      </c>
      <c r="E172" s="14"/>
      <c r="F172" s="12"/>
    </row>
    <row r="173" spans="1:6" ht="39" thickTop="1" thickBot="1" x14ac:dyDescent="0.3">
      <c r="A173" s="6" t="s">
        <v>341</v>
      </c>
      <c r="B173" s="6"/>
      <c r="C173" s="6" t="s">
        <v>189</v>
      </c>
      <c r="D173" s="11">
        <v>3000</v>
      </c>
      <c r="E173" s="14"/>
      <c r="F173" s="12"/>
    </row>
    <row r="174" spans="1:6" ht="39" thickTop="1" thickBot="1" x14ac:dyDescent="0.3">
      <c r="A174" s="6" t="s">
        <v>343</v>
      </c>
      <c r="B174" s="6"/>
      <c r="C174" s="6" t="s">
        <v>189</v>
      </c>
      <c r="D174" s="11">
        <v>4683</v>
      </c>
      <c r="E174" s="14"/>
      <c r="F174" s="12">
        <f t="shared" si="6"/>
        <v>0</v>
      </c>
    </row>
    <row r="175" spans="1:6" ht="32.25" customHeight="1" thickTop="1" thickBot="1" x14ac:dyDescent="0.3">
      <c r="A175" s="6" t="s">
        <v>344</v>
      </c>
      <c r="B175" s="6"/>
      <c r="C175" s="6" t="s">
        <v>189</v>
      </c>
      <c r="D175" s="11">
        <v>3700</v>
      </c>
      <c r="E175" s="14"/>
      <c r="F175" s="12">
        <f t="shared" si="6"/>
        <v>0</v>
      </c>
    </row>
    <row r="176" spans="1:6" ht="39" customHeight="1" thickTop="1" thickBot="1" x14ac:dyDescent="0.3">
      <c r="A176" s="6" t="s">
        <v>345</v>
      </c>
      <c r="B176" s="6"/>
      <c r="C176" s="6" t="s">
        <v>189</v>
      </c>
      <c r="D176" s="11">
        <v>4700</v>
      </c>
      <c r="E176" s="14"/>
      <c r="F176" s="12">
        <f t="shared" si="6"/>
        <v>0</v>
      </c>
    </row>
    <row r="177" spans="1:6" ht="57.75" thickTop="1" thickBot="1" x14ac:dyDescent="0.3">
      <c r="A177" s="6" t="s">
        <v>346</v>
      </c>
      <c r="B177" s="6"/>
      <c r="C177" s="6" t="s">
        <v>189</v>
      </c>
      <c r="D177" s="11">
        <v>7600</v>
      </c>
      <c r="E177" s="14"/>
      <c r="F177" s="12">
        <f t="shared" si="6"/>
        <v>0</v>
      </c>
    </row>
    <row r="178" spans="1:6" ht="39" thickTop="1" thickBot="1" x14ac:dyDescent="0.3">
      <c r="A178" s="6" t="s">
        <v>347</v>
      </c>
      <c r="B178" s="6"/>
      <c r="C178" s="6" t="s">
        <v>189</v>
      </c>
      <c r="D178" s="11">
        <v>9300</v>
      </c>
      <c r="E178" s="14"/>
      <c r="F178" s="12">
        <f t="shared" si="6"/>
        <v>0</v>
      </c>
    </row>
    <row r="179" spans="1:6" ht="22.5" thickTop="1" thickBot="1" x14ac:dyDescent="0.3">
      <c r="A179" s="49" t="s">
        <v>48</v>
      </c>
      <c r="B179" s="50"/>
      <c r="C179" s="50"/>
      <c r="D179" s="50"/>
      <c r="E179" s="50"/>
      <c r="F179" s="55"/>
    </row>
    <row r="180" spans="1:6" ht="20.25" thickTop="1" thickBot="1" x14ac:dyDescent="0.3">
      <c r="A180" s="6" t="s">
        <v>113</v>
      </c>
      <c r="B180" s="6"/>
      <c r="C180" s="6" t="s">
        <v>260</v>
      </c>
      <c r="D180" s="11">
        <v>8203</v>
      </c>
      <c r="E180" s="14"/>
      <c r="F180" s="12">
        <f>D180*E180</f>
        <v>0</v>
      </c>
    </row>
    <row r="181" spans="1:6" ht="39" thickTop="1" thickBot="1" x14ac:dyDescent="0.3">
      <c r="A181" s="6" t="s">
        <v>109</v>
      </c>
      <c r="B181" s="6"/>
      <c r="C181" s="6" t="s">
        <v>260</v>
      </c>
      <c r="D181" s="11">
        <v>1113</v>
      </c>
      <c r="E181" s="14"/>
      <c r="F181" s="12">
        <f>D181*E181</f>
        <v>0</v>
      </c>
    </row>
    <row r="182" spans="1:6" ht="39" thickTop="1" thickBot="1" x14ac:dyDescent="0.3">
      <c r="A182" s="6" t="s">
        <v>110</v>
      </c>
      <c r="B182" s="6"/>
      <c r="C182" s="6" t="s">
        <v>260</v>
      </c>
      <c r="D182" s="11">
        <v>1829</v>
      </c>
      <c r="E182" s="14"/>
      <c r="F182" s="13">
        <f>D182*E182</f>
        <v>0</v>
      </c>
    </row>
    <row r="183" spans="1:6" ht="39" thickTop="1" thickBot="1" x14ac:dyDescent="0.3">
      <c r="A183" s="6" t="s">
        <v>111</v>
      </c>
      <c r="B183" s="6"/>
      <c r="C183" s="6" t="s">
        <v>260</v>
      </c>
      <c r="D183" s="11">
        <v>1245</v>
      </c>
      <c r="E183" s="14"/>
      <c r="F183" s="13">
        <f>D183*E183</f>
        <v>0</v>
      </c>
    </row>
    <row r="184" spans="1:6" ht="39" thickTop="1" thickBot="1" x14ac:dyDescent="0.3">
      <c r="A184" s="6" t="s">
        <v>112</v>
      </c>
      <c r="B184" s="6"/>
      <c r="C184" s="6" t="s">
        <v>260</v>
      </c>
      <c r="D184" s="11">
        <v>2166</v>
      </c>
      <c r="E184" s="14"/>
      <c r="F184" s="13">
        <f>D184*E184</f>
        <v>0</v>
      </c>
    </row>
    <row r="185" spans="1:6" ht="22.5" thickTop="1" thickBot="1" x14ac:dyDescent="0.3">
      <c r="A185" s="49" t="s">
        <v>259</v>
      </c>
      <c r="B185" s="50"/>
      <c r="C185" s="50"/>
      <c r="D185" s="50"/>
      <c r="E185" s="50"/>
      <c r="F185" s="50"/>
    </row>
    <row r="186" spans="1:6" ht="20.25" thickTop="1" thickBot="1" x14ac:dyDescent="0.3">
      <c r="A186" s="6" t="s">
        <v>243</v>
      </c>
      <c r="B186" s="6"/>
      <c r="C186" s="6" t="s">
        <v>260</v>
      </c>
      <c r="D186" s="11">
        <v>6633</v>
      </c>
      <c r="E186" s="14"/>
      <c r="F186" s="13">
        <f>E186*D186</f>
        <v>0</v>
      </c>
    </row>
    <row r="187" spans="1:6" ht="39" thickTop="1" thickBot="1" x14ac:dyDescent="0.3">
      <c r="A187" s="6" t="s">
        <v>244</v>
      </c>
      <c r="B187" s="6"/>
      <c r="C187" s="6" t="s">
        <v>260</v>
      </c>
      <c r="D187" s="11">
        <v>3305</v>
      </c>
      <c r="E187" s="14"/>
      <c r="F187" s="13">
        <f>E187*D187</f>
        <v>0</v>
      </c>
    </row>
    <row r="188" spans="1:6" ht="39" thickTop="1" thickBot="1" x14ac:dyDescent="0.3">
      <c r="A188" s="6" t="s">
        <v>245</v>
      </c>
      <c r="B188" s="6"/>
      <c r="C188" s="6" t="s">
        <v>260</v>
      </c>
      <c r="D188" s="11">
        <v>4178</v>
      </c>
      <c r="E188" s="14"/>
      <c r="F188" s="13">
        <f>E188*D188</f>
        <v>0</v>
      </c>
    </row>
    <row r="189" spans="1:6" ht="39" thickTop="1" thickBot="1" x14ac:dyDescent="0.3">
      <c r="A189" s="6" t="s">
        <v>246</v>
      </c>
      <c r="B189" s="6"/>
      <c r="C189" s="6" t="s">
        <v>260</v>
      </c>
      <c r="D189" s="11">
        <v>4974</v>
      </c>
      <c r="E189" s="14"/>
      <c r="F189" s="13">
        <f>E189*D189</f>
        <v>0</v>
      </c>
    </row>
    <row r="190" spans="1:6" ht="20.25" thickTop="1" thickBot="1" x14ac:dyDescent="0.3">
      <c r="A190" s="53"/>
      <c r="B190" s="54"/>
      <c r="C190" s="54"/>
      <c r="D190" s="54"/>
      <c r="E190" s="54"/>
      <c r="F190" s="54"/>
    </row>
    <row r="191" spans="1:6" ht="20.25" thickTop="1" thickBot="1" x14ac:dyDescent="0.3">
      <c r="A191" s="6" t="s">
        <v>247</v>
      </c>
      <c r="B191" s="6"/>
      <c r="C191" s="6" t="s">
        <v>260</v>
      </c>
      <c r="D191" s="11">
        <v>4514</v>
      </c>
      <c r="E191" s="14"/>
      <c r="F191" s="13">
        <f>E191*D191</f>
        <v>0</v>
      </c>
    </row>
    <row r="192" spans="1:6" ht="39" thickTop="1" thickBot="1" x14ac:dyDescent="0.3">
      <c r="A192" s="6" t="s">
        <v>248</v>
      </c>
      <c r="B192" s="6"/>
      <c r="C192" s="6" t="s">
        <v>260</v>
      </c>
      <c r="D192" s="11">
        <v>5437</v>
      </c>
      <c r="E192" s="14"/>
      <c r="F192" s="13">
        <f>E192*D192</f>
        <v>0</v>
      </c>
    </row>
    <row r="193" spans="1:6" ht="39" thickTop="1" thickBot="1" x14ac:dyDescent="0.3">
      <c r="A193" s="6" t="s">
        <v>249</v>
      </c>
      <c r="B193" s="6"/>
      <c r="C193" s="6" t="s">
        <v>260</v>
      </c>
      <c r="D193" s="11">
        <v>6243</v>
      </c>
      <c r="E193" s="14"/>
      <c r="F193" s="13">
        <f>E193*D193</f>
        <v>0</v>
      </c>
    </row>
    <row r="194" spans="1:6" ht="20.25" thickTop="1" thickBot="1" x14ac:dyDescent="0.3">
      <c r="A194" s="53"/>
      <c r="B194" s="54"/>
      <c r="C194" s="54"/>
      <c r="D194" s="54"/>
      <c r="E194" s="54"/>
      <c r="F194" s="54"/>
    </row>
    <row r="195" spans="1:6" ht="39" thickTop="1" thickBot="1" x14ac:dyDescent="0.3">
      <c r="A195" s="6" t="s">
        <v>250</v>
      </c>
      <c r="B195" s="6"/>
      <c r="C195" s="6" t="s">
        <v>260</v>
      </c>
      <c r="D195" s="11">
        <v>10007</v>
      </c>
      <c r="E195" s="14"/>
      <c r="F195" s="13">
        <f>E195*D195</f>
        <v>0</v>
      </c>
    </row>
    <row r="196" spans="1:6" ht="39" thickTop="1" thickBot="1" x14ac:dyDescent="0.3">
      <c r="A196" s="6" t="s">
        <v>251</v>
      </c>
      <c r="B196" s="6"/>
      <c r="C196" s="6" t="s">
        <v>260</v>
      </c>
      <c r="D196" s="11">
        <v>4875</v>
      </c>
      <c r="E196" s="14"/>
      <c r="F196" s="13">
        <f>E196*D196</f>
        <v>0</v>
      </c>
    </row>
    <row r="197" spans="1:6" ht="39" thickTop="1" thickBot="1" x14ac:dyDescent="0.3">
      <c r="A197" s="6" t="s">
        <v>252</v>
      </c>
      <c r="B197" s="6"/>
      <c r="C197" s="6" t="s">
        <v>260</v>
      </c>
      <c r="D197" s="11">
        <v>5434</v>
      </c>
      <c r="E197" s="14"/>
      <c r="F197" s="13">
        <f>E197*D197</f>
        <v>0</v>
      </c>
    </row>
    <row r="198" spans="1:6" ht="39" thickTop="1" thickBot="1" x14ac:dyDescent="0.3">
      <c r="A198" s="6" t="s">
        <v>253</v>
      </c>
      <c r="B198" s="6"/>
      <c r="C198" s="6" t="s">
        <v>260</v>
      </c>
      <c r="D198" s="11">
        <v>6254</v>
      </c>
      <c r="E198" s="14"/>
      <c r="F198" s="13">
        <f>E198*D198</f>
        <v>0</v>
      </c>
    </row>
    <row r="199" spans="1:6" ht="39" thickTop="1" thickBot="1" x14ac:dyDescent="0.3">
      <c r="A199" s="6" t="s">
        <v>254</v>
      </c>
      <c r="B199" s="6"/>
      <c r="C199" s="6" t="s">
        <v>260</v>
      </c>
      <c r="D199" s="11">
        <v>7990</v>
      </c>
      <c r="E199" s="14"/>
      <c r="F199" s="13">
        <f>E199*D199</f>
        <v>0</v>
      </c>
    </row>
    <row r="200" spans="1:6" ht="20.25" thickTop="1" thickBot="1" x14ac:dyDescent="0.3">
      <c r="A200" s="53"/>
      <c r="B200" s="54"/>
      <c r="C200" s="54"/>
      <c r="D200" s="54"/>
      <c r="E200" s="54"/>
      <c r="F200" s="54"/>
    </row>
    <row r="201" spans="1:6" ht="39" thickTop="1" thickBot="1" x14ac:dyDescent="0.3">
      <c r="A201" s="6" t="s">
        <v>255</v>
      </c>
      <c r="B201" s="6"/>
      <c r="C201" s="6" t="s">
        <v>260</v>
      </c>
      <c r="D201" s="11">
        <v>7490</v>
      </c>
      <c r="E201" s="14"/>
      <c r="F201" s="13">
        <f>E201*D201</f>
        <v>0</v>
      </c>
    </row>
    <row r="202" spans="1:6" ht="39" thickTop="1" thickBot="1" x14ac:dyDescent="0.3">
      <c r="A202" s="6" t="s">
        <v>256</v>
      </c>
      <c r="B202" s="6"/>
      <c r="C202" s="6" t="s">
        <v>260</v>
      </c>
      <c r="D202" s="11">
        <v>8042</v>
      </c>
      <c r="E202" s="14"/>
      <c r="F202" s="13">
        <f>E202*D202</f>
        <v>0</v>
      </c>
    </row>
    <row r="203" spans="1:6" ht="39" thickTop="1" thickBot="1" x14ac:dyDescent="0.3">
      <c r="A203" s="6" t="s">
        <v>257</v>
      </c>
      <c r="B203" s="6"/>
      <c r="C203" s="6" t="s">
        <v>260</v>
      </c>
      <c r="D203" s="11">
        <v>8862</v>
      </c>
      <c r="E203" s="14"/>
      <c r="F203" s="13">
        <f>E203*D203</f>
        <v>0</v>
      </c>
    </row>
    <row r="204" spans="1:6" ht="39" thickTop="1" thickBot="1" x14ac:dyDescent="0.3">
      <c r="A204" s="6" t="s">
        <v>258</v>
      </c>
      <c r="B204" s="6"/>
      <c r="C204" s="6" t="s">
        <v>260</v>
      </c>
      <c r="D204" s="11">
        <v>10598</v>
      </c>
      <c r="E204" s="14"/>
      <c r="F204" s="13">
        <f>E204*D204</f>
        <v>0</v>
      </c>
    </row>
    <row r="205" spans="1:6" ht="22.5" thickTop="1" thickBot="1" x14ac:dyDescent="0.3">
      <c r="A205" s="49" t="s">
        <v>49</v>
      </c>
      <c r="B205" s="50"/>
      <c r="C205" s="50"/>
      <c r="D205" s="50"/>
      <c r="E205" s="50"/>
      <c r="F205" s="50"/>
    </row>
    <row r="206" spans="1:6" ht="22.5" thickTop="1" thickBot="1" x14ac:dyDescent="0.3">
      <c r="A206" s="51" t="s">
        <v>307</v>
      </c>
      <c r="B206" s="52"/>
      <c r="C206" s="52"/>
      <c r="D206" s="52"/>
      <c r="E206" s="52"/>
      <c r="F206" s="52"/>
    </row>
    <row r="207" spans="1:6" ht="20.25" thickTop="1" thickBot="1" x14ac:dyDescent="0.3">
      <c r="A207" s="6" t="s">
        <v>261</v>
      </c>
      <c r="B207" s="6"/>
      <c r="C207" s="6" t="s">
        <v>189</v>
      </c>
      <c r="D207" s="11">
        <v>9000</v>
      </c>
      <c r="E207" s="14">
        <v>0</v>
      </c>
      <c r="F207" s="12">
        <f>D207*E207</f>
        <v>0</v>
      </c>
    </row>
    <row r="208" spans="1:6" ht="20.25" thickTop="1" thickBot="1" x14ac:dyDescent="0.3">
      <c r="A208" s="6" t="s">
        <v>262</v>
      </c>
      <c r="B208" s="6"/>
      <c r="C208" s="6" t="s">
        <v>189</v>
      </c>
      <c r="D208" s="11">
        <v>5300</v>
      </c>
      <c r="E208" s="14">
        <v>0</v>
      </c>
      <c r="F208" s="12">
        <f t="shared" ref="F208:F216" si="7">D208*E208</f>
        <v>0</v>
      </c>
    </row>
    <row r="209" spans="1:6" ht="20.25" thickTop="1" thickBot="1" x14ac:dyDescent="0.3">
      <c r="A209" s="6" t="s">
        <v>263</v>
      </c>
      <c r="B209" s="6"/>
      <c r="C209" s="6" t="s">
        <v>189</v>
      </c>
      <c r="D209" s="11">
        <v>6500</v>
      </c>
      <c r="E209" s="14"/>
      <c r="F209" s="12">
        <f t="shared" si="7"/>
        <v>0</v>
      </c>
    </row>
    <row r="210" spans="1:6" ht="20.25" thickTop="1" thickBot="1" x14ac:dyDescent="0.3">
      <c r="A210" s="6" t="s">
        <v>264</v>
      </c>
      <c r="B210" s="6"/>
      <c r="C210" s="6" t="s">
        <v>189</v>
      </c>
      <c r="D210" s="11">
        <v>7600</v>
      </c>
      <c r="E210" s="14">
        <v>0</v>
      </c>
      <c r="F210" s="12"/>
    </row>
    <row r="211" spans="1:6" ht="20.25" thickTop="1" thickBot="1" x14ac:dyDescent="0.3">
      <c r="A211" s="6" t="s">
        <v>350</v>
      </c>
      <c r="B211" s="6"/>
      <c r="C211" s="6" t="s">
        <v>189</v>
      </c>
      <c r="D211" s="11">
        <v>5900</v>
      </c>
      <c r="E211" s="14"/>
      <c r="F211" s="12">
        <f t="shared" si="7"/>
        <v>0</v>
      </c>
    </row>
    <row r="212" spans="1:6" ht="22.5" thickTop="1" thickBot="1" x14ac:dyDescent="0.3">
      <c r="A212" s="51" t="s">
        <v>308</v>
      </c>
      <c r="B212" s="52"/>
      <c r="C212" s="52"/>
      <c r="D212" s="52"/>
      <c r="E212" s="52"/>
      <c r="F212" s="52"/>
    </row>
    <row r="213" spans="1:6" ht="20.25" thickTop="1" thickBot="1" x14ac:dyDescent="0.3">
      <c r="A213" s="6" t="s">
        <v>348</v>
      </c>
      <c r="B213" s="6"/>
      <c r="C213" s="6" t="s">
        <v>189</v>
      </c>
      <c r="D213" s="11">
        <v>11800</v>
      </c>
      <c r="E213" s="14"/>
      <c r="F213" s="12">
        <f t="shared" si="7"/>
        <v>0</v>
      </c>
    </row>
    <row r="214" spans="1:6" ht="39" thickTop="1" thickBot="1" x14ac:dyDescent="0.3">
      <c r="A214" s="6" t="s">
        <v>265</v>
      </c>
      <c r="B214" s="6"/>
      <c r="C214" s="6" t="s">
        <v>189</v>
      </c>
      <c r="D214" s="11">
        <v>8500</v>
      </c>
      <c r="E214" s="14"/>
      <c r="F214" s="12">
        <f t="shared" si="7"/>
        <v>0</v>
      </c>
    </row>
    <row r="215" spans="1:6" ht="39" thickTop="1" thickBot="1" x14ac:dyDescent="0.3">
      <c r="A215" s="6" t="s">
        <v>266</v>
      </c>
      <c r="B215" s="6"/>
      <c r="C215" s="6" t="s">
        <v>189</v>
      </c>
      <c r="D215" s="11">
        <v>9700</v>
      </c>
      <c r="E215" s="14"/>
      <c r="F215" s="12">
        <f t="shared" si="7"/>
        <v>0</v>
      </c>
    </row>
    <row r="216" spans="1:6" ht="39" thickTop="1" thickBot="1" x14ac:dyDescent="0.3">
      <c r="A216" s="6" t="s">
        <v>267</v>
      </c>
      <c r="B216" s="6"/>
      <c r="C216" s="6" t="s">
        <v>189</v>
      </c>
      <c r="D216" s="11">
        <v>10800</v>
      </c>
      <c r="E216" s="14"/>
      <c r="F216" s="12">
        <f t="shared" si="7"/>
        <v>0</v>
      </c>
    </row>
    <row r="217" spans="1:6" ht="22.5" thickTop="1" thickBot="1" x14ac:dyDescent="0.3">
      <c r="A217" s="51" t="s">
        <v>268</v>
      </c>
      <c r="B217" s="52"/>
      <c r="C217" s="52"/>
      <c r="D217" s="52"/>
      <c r="E217" s="52"/>
      <c r="F217" s="52"/>
    </row>
    <row r="218" spans="1:6" ht="20.25" thickTop="1" thickBot="1" x14ac:dyDescent="0.3">
      <c r="A218" s="6" t="s">
        <v>362</v>
      </c>
      <c r="B218" s="6"/>
      <c r="C218" s="6" t="s">
        <v>189</v>
      </c>
      <c r="D218" s="11">
        <v>12800</v>
      </c>
      <c r="E218" s="14"/>
      <c r="F218" s="13"/>
    </row>
    <row r="219" spans="1:6" ht="20.25" thickTop="1" thickBot="1" x14ac:dyDescent="0.3">
      <c r="A219" s="6" t="s">
        <v>349</v>
      </c>
      <c r="B219" s="6"/>
      <c r="C219" s="6" t="s">
        <v>189</v>
      </c>
      <c r="D219" s="11">
        <v>7230</v>
      </c>
      <c r="E219" s="14"/>
      <c r="F219" s="13"/>
    </row>
    <row r="220" spans="1:6" ht="20.25" thickTop="1" thickBot="1" x14ac:dyDescent="0.3">
      <c r="A220" s="6" t="s">
        <v>351</v>
      </c>
      <c r="B220" s="6"/>
      <c r="C220" s="6" t="s">
        <v>189</v>
      </c>
      <c r="D220" s="11">
        <v>8200</v>
      </c>
      <c r="E220" s="14"/>
      <c r="F220" s="13"/>
    </row>
    <row r="221" spans="1:6" ht="20.25" thickTop="1" thickBot="1" x14ac:dyDescent="0.3">
      <c r="A221" s="6" t="s">
        <v>352</v>
      </c>
      <c r="B221" s="6"/>
      <c r="C221" s="6" t="s">
        <v>189</v>
      </c>
      <c r="D221" s="11">
        <v>9200</v>
      </c>
      <c r="E221" s="14"/>
      <c r="F221" s="13"/>
    </row>
    <row r="222" spans="1:6" ht="20.25" thickTop="1" thickBot="1" x14ac:dyDescent="0.3">
      <c r="A222" s="6" t="s">
        <v>353</v>
      </c>
      <c r="B222" s="6"/>
      <c r="C222" s="6" t="s">
        <v>189</v>
      </c>
      <c r="D222" s="11">
        <v>13150</v>
      </c>
      <c r="E222" s="14"/>
      <c r="F222" s="13"/>
    </row>
    <row r="223" spans="1:6" ht="20.25" thickTop="1" thickBot="1" x14ac:dyDescent="0.3">
      <c r="A223" s="6" t="s">
        <v>361</v>
      </c>
      <c r="B223" s="6"/>
      <c r="C223" s="6" t="s">
        <v>189</v>
      </c>
      <c r="D223" s="11">
        <v>10600</v>
      </c>
      <c r="E223" s="14"/>
      <c r="F223" s="13"/>
    </row>
    <row r="224" spans="1:6" ht="22.5" thickTop="1" thickBot="1" x14ac:dyDescent="0.3">
      <c r="A224" s="51" t="s">
        <v>354</v>
      </c>
      <c r="B224" s="52"/>
      <c r="C224" s="52"/>
      <c r="D224" s="52"/>
      <c r="E224" s="52"/>
      <c r="F224" s="52"/>
    </row>
    <row r="225" spans="1:6" ht="20.25" thickTop="1" thickBot="1" x14ac:dyDescent="0.3">
      <c r="A225" s="6" t="s">
        <v>355</v>
      </c>
      <c r="B225" s="6"/>
      <c r="C225" s="6" t="s">
        <v>189</v>
      </c>
      <c r="D225" s="11">
        <v>15150</v>
      </c>
      <c r="E225" s="14"/>
      <c r="F225" s="13"/>
    </row>
    <row r="226" spans="1:6" ht="20.25" thickTop="1" thickBot="1" x14ac:dyDescent="0.3">
      <c r="A226" s="6" t="s">
        <v>356</v>
      </c>
      <c r="B226" s="6"/>
      <c r="C226" s="6" t="s">
        <v>189</v>
      </c>
      <c r="D226" s="11">
        <v>10445</v>
      </c>
      <c r="E226" s="14"/>
      <c r="F226" s="13"/>
    </row>
    <row r="227" spans="1:6" ht="20.25" thickTop="1" thickBot="1" x14ac:dyDescent="0.3">
      <c r="A227" s="6" t="s">
        <v>357</v>
      </c>
      <c r="B227" s="6"/>
      <c r="C227" s="6" t="s">
        <v>189</v>
      </c>
      <c r="D227" s="11">
        <v>11382</v>
      </c>
      <c r="E227" s="14"/>
      <c r="F227" s="13"/>
    </row>
    <row r="228" spans="1:6" ht="20.25" thickTop="1" thickBot="1" x14ac:dyDescent="0.3">
      <c r="A228" s="6" t="s">
        <v>358</v>
      </c>
      <c r="B228" s="6"/>
      <c r="C228" s="6" t="s">
        <v>189</v>
      </c>
      <c r="D228" s="11">
        <v>12446</v>
      </c>
      <c r="E228" s="14"/>
      <c r="F228" s="13"/>
    </row>
    <row r="229" spans="1:6" ht="20.25" thickTop="1" thickBot="1" x14ac:dyDescent="0.3">
      <c r="A229" s="6" t="s">
        <v>359</v>
      </c>
      <c r="B229" s="6"/>
      <c r="C229" s="6" t="s">
        <v>189</v>
      </c>
      <c r="D229" s="11">
        <v>16347</v>
      </c>
      <c r="E229" s="14"/>
      <c r="F229" s="13"/>
    </row>
    <row r="230" spans="1:6" ht="20.25" thickTop="1" thickBot="1" x14ac:dyDescent="0.3">
      <c r="A230" s="6" t="s">
        <v>360</v>
      </c>
      <c r="B230" s="6"/>
      <c r="C230" s="6" t="s">
        <v>189</v>
      </c>
      <c r="D230" s="11">
        <v>10600</v>
      </c>
      <c r="E230" s="14"/>
      <c r="F230" s="13"/>
    </row>
    <row r="231" spans="1:6" ht="18" customHeight="1" thickTop="1" thickBot="1" x14ac:dyDescent="0.3">
      <c r="A231" s="49" t="s">
        <v>50</v>
      </c>
      <c r="B231" s="50"/>
      <c r="C231" s="50"/>
      <c r="D231" s="50"/>
      <c r="E231" s="50"/>
      <c r="F231" s="55"/>
    </row>
    <row r="232" spans="1:6" ht="18" customHeight="1" thickTop="1" thickBot="1" x14ac:dyDescent="0.3">
      <c r="A232" s="51" t="s">
        <v>269</v>
      </c>
      <c r="B232" s="52"/>
      <c r="C232" s="52"/>
      <c r="D232" s="52"/>
      <c r="E232" s="52"/>
      <c r="F232" s="52"/>
    </row>
    <row r="233" spans="1:6" ht="18" customHeight="1" thickTop="1" thickBot="1" x14ac:dyDescent="0.3">
      <c r="A233" s="6" t="s">
        <v>79</v>
      </c>
      <c r="B233" s="6"/>
      <c r="C233" s="6" t="s">
        <v>189</v>
      </c>
      <c r="D233" s="11">
        <v>3650</v>
      </c>
      <c r="E233" s="14"/>
      <c r="F233" s="12">
        <f>D233*E233</f>
        <v>0</v>
      </c>
    </row>
    <row r="234" spans="1:6" ht="18" customHeight="1" thickTop="1" thickBot="1" x14ac:dyDescent="0.3">
      <c r="A234" s="6" t="s">
        <v>114</v>
      </c>
      <c r="B234" s="6"/>
      <c r="C234" s="6" t="s">
        <v>189</v>
      </c>
      <c r="D234" s="11">
        <v>1656</v>
      </c>
      <c r="E234" s="14"/>
      <c r="F234" s="12">
        <f>D234*E234</f>
        <v>0</v>
      </c>
    </row>
    <row r="235" spans="1:6" ht="18" customHeight="1" thickTop="1" thickBot="1" x14ac:dyDescent="0.3">
      <c r="A235" s="6" t="s">
        <v>115</v>
      </c>
      <c r="B235" s="6"/>
      <c r="C235" s="6" t="s">
        <v>189</v>
      </c>
      <c r="D235" s="11">
        <v>1910</v>
      </c>
      <c r="E235" s="14">
        <v>1</v>
      </c>
      <c r="F235" s="12">
        <f t="shared" ref="F235:F242" si="8">D235*E235</f>
        <v>1910</v>
      </c>
    </row>
    <row r="236" spans="1:6" ht="18" customHeight="1" thickTop="1" thickBot="1" x14ac:dyDescent="0.3">
      <c r="A236" s="6" t="s">
        <v>116</v>
      </c>
      <c r="B236" s="6"/>
      <c r="C236" s="6" t="s">
        <v>189</v>
      </c>
      <c r="D236" s="11">
        <v>2250</v>
      </c>
      <c r="E236" s="14"/>
      <c r="F236" s="12">
        <f t="shared" si="8"/>
        <v>0</v>
      </c>
    </row>
    <row r="237" spans="1:6" ht="18" customHeight="1" thickTop="1" thickBot="1" x14ac:dyDescent="0.3">
      <c r="A237" s="6" t="s">
        <v>117</v>
      </c>
      <c r="B237" s="6"/>
      <c r="C237" s="6" t="s">
        <v>189</v>
      </c>
      <c r="D237" s="11">
        <v>2350</v>
      </c>
      <c r="E237" s="14"/>
      <c r="F237" s="12">
        <f t="shared" si="8"/>
        <v>0</v>
      </c>
    </row>
    <row r="238" spans="1:6" ht="18" customHeight="1" thickTop="1" thickBot="1" x14ac:dyDescent="0.3">
      <c r="A238" s="51" t="s">
        <v>363</v>
      </c>
      <c r="B238" s="52"/>
      <c r="C238" s="52"/>
      <c r="D238" s="52"/>
      <c r="E238" s="52"/>
      <c r="F238" s="52"/>
    </row>
    <row r="239" spans="1:6" ht="18" customHeight="1" thickTop="1" thickBot="1" x14ac:dyDescent="0.3">
      <c r="A239" s="6" t="s">
        <v>118</v>
      </c>
      <c r="B239" s="6"/>
      <c r="C239" s="6" t="s">
        <v>189</v>
      </c>
      <c r="D239" s="11"/>
      <c r="E239" s="14"/>
      <c r="F239" s="12">
        <f t="shared" si="8"/>
        <v>0</v>
      </c>
    </row>
    <row r="240" spans="1:6" ht="18" customHeight="1" thickTop="1" thickBot="1" x14ac:dyDescent="0.3">
      <c r="A240" s="6" t="s">
        <v>119</v>
      </c>
      <c r="B240" s="6"/>
      <c r="C240" s="6" t="s">
        <v>189</v>
      </c>
      <c r="D240" s="11"/>
      <c r="E240" s="14"/>
      <c r="F240" s="12">
        <f t="shared" si="8"/>
        <v>0</v>
      </c>
    </row>
    <row r="241" spans="1:6" ht="18" customHeight="1" thickTop="1" thickBot="1" x14ac:dyDescent="0.3">
      <c r="A241" s="6" t="s">
        <v>120</v>
      </c>
      <c r="B241" s="6"/>
      <c r="C241" s="6" t="s">
        <v>189</v>
      </c>
      <c r="D241" s="11"/>
      <c r="E241" s="14"/>
      <c r="F241" s="12">
        <f t="shared" si="8"/>
        <v>0</v>
      </c>
    </row>
    <row r="242" spans="1:6" ht="18" customHeight="1" thickTop="1" thickBot="1" x14ac:dyDescent="0.3">
      <c r="A242" s="6" t="s">
        <v>121</v>
      </c>
      <c r="B242" s="6"/>
      <c r="C242" s="6" t="s">
        <v>189</v>
      </c>
      <c r="D242" s="11"/>
      <c r="E242" s="14"/>
      <c r="F242" s="12">
        <f t="shared" si="8"/>
        <v>0</v>
      </c>
    </row>
    <row r="243" spans="1:6" ht="18" customHeight="1" thickTop="1" thickBot="1" x14ac:dyDescent="0.3">
      <c r="A243" s="63" t="s">
        <v>364</v>
      </c>
      <c r="B243" s="64"/>
      <c r="C243" s="64"/>
      <c r="D243" s="64"/>
      <c r="E243" s="64"/>
      <c r="F243" s="65"/>
    </row>
    <row r="244" spans="1:6" ht="18" customHeight="1" thickTop="1" thickBot="1" x14ac:dyDescent="0.3">
      <c r="A244" s="51" t="s">
        <v>303</v>
      </c>
      <c r="B244" s="52"/>
      <c r="C244" s="52"/>
      <c r="D244" s="52"/>
      <c r="E244" s="52"/>
      <c r="F244" s="52"/>
    </row>
    <row r="245" spans="1:6" ht="18" customHeight="1" thickTop="1" thickBot="1" x14ac:dyDescent="0.3">
      <c r="A245" s="6" t="s">
        <v>80</v>
      </c>
      <c r="B245" s="6"/>
      <c r="C245" s="6" t="s">
        <v>189</v>
      </c>
      <c r="D245" s="11">
        <v>3885</v>
      </c>
      <c r="E245" s="32"/>
      <c r="F245" s="12">
        <f>D245*E245</f>
        <v>0</v>
      </c>
    </row>
    <row r="246" spans="1:6" ht="18" customHeight="1" thickTop="1" thickBot="1" x14ac:dyDescent="0.3">
      <c r="A246" s="6" t="s">
        <v>81</v>
      </c>
      <c r="B246" s="6"/>
      <c r="C246" s="6" t="s">
        <v>189</v>
      </c>
      <c r="D246" s="11">
        <v>3885</v>
      </c>
      <c r="E246" s="32"/>
      <c r="F246" s="12">
        <f t="shared" ref="F246:F292" si="9">D246*E246</f>
        <v>0</v>
      </c>
    </row>
    <row r="247" spans="1:6" ht="18" customHeight="1" thickTop="1" thickBot="1" x14ac:dyDescent="0.3">
      <c r="A247" s="6" t="s">
        <v>82</v>
      </c>
      <c r="B247" s="6"/>
      <c r="C247" s="6" t="s">
        <v>189</v>
      </c>
      <c r="D247" s="11">
        <v>3885</v>
      </c>
      <c r="E247" s="32"/>
      <c r="F247" s="12">
        <f t="shared" si="9"/>
        <v>0</v>
      </c>
    </row>
    <row r="248" spans="1:6" ht="18" customHeight="1" thickTop="1" thickBot="1" x14ac:dyDescent="0.3">
      <c r="A248" s="6" t="s">
        <v>83</v>
      </c>
      <c r="B248" s="6"/>
      <c r="C248" s="6" t="s">
        <v>189</v>
      </c>
      <c r="D248" s="11">
        <v>3931</v>
      </c>
      <c r="E248" s="32"/>
      <c r="F248" s="12">
        <f t="shared" si="9"/>
        <v>0</v>
      </c>
    </row>
    <row r="249" spans="1:6" ht="18" customHeight="1" thickTop="1" thickBot="1" x14ac:dyDescent="0.3">
      <c r="A249" s="6" t="s">
        <v>84</v>
      </c>
      <c r="B249" s="6"/>
      <c r="C249" s="6" t="s">
        <v>189</v>
      </c>
      <c r="D249" s="11">
        <v>3979</v>
      </c>
      <c r="E249" s="32"/>
      <c r="F249" s="12">
        <f t="shared" si="9"/>
        <v>0</v>
      </c>
    </row>
    <row r="250" spans="1:6" ht="18" customHeight="1" thickTop="1" thickBot="1" x14ac:dyDescent="0.3">
      <c r="A250" s="6" t="s">
        <v>85</v>
      </c>
      <c r="B250" s="6"/>
      <c r="C250" s="6" t="s">
        <v>189</v>
      </c>
      <c r="D250" s="11">
        <v>4023</v>
      </c>
      <c r="E250" s="32"/>
      <c r="F250" s="12">
        <f t="shared" si="9"/>
        <v>0</v>
      </c>
    </row>
    <row r="251" spans="1:6" ht="18" customHeight="1" thickTop="1" thickBot="1" x14ac:dyDescent="0.3">
      <c r="A251" s="6" t="s">
        <v>86</v>
      </c>
      <c r="B251" s="6"/>
      <c r="C251" s="6" t="s">
        <v>189</v>
      </c>
      <c r="D251" s="11">
        <v>4196</v>
      </c>
      <c r="E251" s="32"/>
      <c r="F251" s="12">
        <f t="shared" si="9"/>
        <v>0</v>
      </c>
    </row>
    <row r="252" spans="1:6" ht="18" customHeight="1" thickTop="1" thickBot="1" x14ac:dyDescent="0.3">
      <c r="A252" s="51" t="s">
        <v>304</v>
      </c>
      <c r="B252" s="52"/>
      <c r="C252" s="52"/>
      <c r="D252" s="52"/>
      <c r="E252" s="52"/>
      <c r="F252" s="52"/>
    </row>
    <row r="253" spans="1:6" ht="18" customHeight="1" thickTop="1" thickBot="1" x14ac:dyDescent="0.3">
      <c r="A253" s="6" t="s">
        <v>88</v>
      </c>
      <c r="B253" s="6"/>
      <c r="C253" s="6" t="s">
        <v>189</v>
      </c>
      <c r="D253" s="11">
        <v>4183</v>
      </c>
      <c r="E253" s="32"/>
      <c r="F253" s="12">
        <f t="shared" si="9"/>
        <v>0</v>
      </c>
    </row>
    <row r="254" spans="1:6" ht="18" customHeight="1" thickTop="1" thickBot="1" x14ac:dyDescent="0.3">
      <c r="A254" s="6" t="s">
        <v>89</v>
      </c>
      <c r="B254" s="6"/>
      <c r="C254" s="6" t="s">
        <v>189</v>
      </c>
      <c r="D254" s="11">
        <v>4183</v>
      </c>
      <c r="E254" s="32"/>
      <c r="F254" s="12">
        <f t="shared" si="9"/>
        <v>0</v>
      </c>
    </row>
    <row r="255" spans="1:6" ht="18" customHeight="1" thickTop="1" thickBot="1" x14ac:dyDescent="0.3">
      <c r="A255" s="6" t="s">
        <v>90</v>
      </c>
      <c r="B255" s="6"/>
      <c r="C255" s="6" t="s">
        <v>189</v>
      </c>
      <c r="D255" s="11">
        <v>4183</v>
      </c>
      <c r="E255" s="32"/>
      <c r="F255" s="12">
        <f t="shared" si="9"/>
        <v>0</v>
      </c>
    </row>
    <row r="256" spans="1:6" ht="18" customHeight="1" thickTop="1" thickBot="1" x14ac:dyDescent="0.3">
      <c r="A256" s="6" t="s">
        <v>91</v>
      </c>
      <c r="B256" s="6"/>
      <c r="C256" s="6" t="s">
        <v>189</v>
      </c>
      <c r="D256" s="11">
        <v>4232</v>
      </c>
      <c r="E256" s="32"/>
      <c r="F256" s="12">
        <f t="shared" si="9"/>
        <v>0</v>
      </c>
    </row>
    <row r="257" spans="1:6" ht="18" customHeight="1" thickTop="1" thickBot="1" x14ac:dyDescent="0.3">
      <c r="A257" s="6" t="s">
        <v>92</v>
      </c>
      <c r="B257" s="6"/>
      <c r="C257" s="6" t="s">
        <v>189</v>
      </c>
      <c r="D257" s="11">
        <v>4279</v>
      </c>
      <c r="E257" s="32"/>
      <c r="F257" s="12">
        <f t="shared" si="9"/>
        <v>0</v>
      </c>
    </row>
    <row r="258" spans="1:6" ht="18" customHeight="1" thickTop="1" thickBot="1" x14ac:dyDescent="0.3">
      <c r="A258" s="6" t="s">
        <v>93</v>
      </c>
      <c r="B258" s="6"/>
      <c r="C258" s="6" t="s">
        <v>189</v>
      </c>
      <c r="D258" s="11">
        <v>4325</v>
      </c>
      <c r="E258" s="32"/>
      <c r="F258" s="12">
        <f t="shared" si="9"/>
        <v>0</v>
      </c>
    </row>
    <row r="259" spans="1:6" ht="18" customHeight="1" thickTop="1" thickBot="1" x14ac:dyDescent="0.3">
      <c r="A259" s="6" t="s">
        <v>87</v>
      </c>
      <c r="B259" s="6"/>
      <c r="C259" s="6" t="s">
        <v>189</v>
      </c>
      <c r="D259" s="11">
        <v>4496</v>
      </c>
      <c r="E259" s="32"/>
      <c r="F259" s="12">
        <f t="shared" si="9"/>
        <v>0</v>
      </c>
    </row>
    <row r="260" spans="1:6" ht="18" customHeight="1" thickTop="1" thickBot="1" x14ac:dyDescent="0.3">
      <c r="A260" s="6" t="s">
        <v>365</v>
      </c>
      <c r="B260" s="6"/>
      <c r="C260" s="6" t="s">
        <v>189</v>
      </c>
      <c r="D260" s="11">
        <v>478</v>
      </c>
      <c r="E260" s="32"/>
      <c r="F260" s="12">
        <f t="shared" si="9"/>
        <v>0</v>
      </c>
    </row>
    <row r="261" spans="1:6" ht="18" customHeight="1" thickTop="1" thickBot="1" x14ac:dyDescent="0.3">
      <c r="A261" s="51" t="s">
        <v>305</v>
      </c>
      <c r="B261" s="52"/>
      <c r="C261" s="52"/>
      <c r="D261" s="52"/>
      <c r="E261" s="52"/>
      <c r="F261" s="52"/>
    </row>
    <row r="262" spans="1:6" ht="18" customHeight="1" thickTop="1" thickBot="1" x14ac:dyDescent="0.3">
      <c r="A262" s="6" t="s">
        <v>94</v>
      </c>
      <c r="B262" s="6"/>
      <c r="C262" s="6" t="s">
        <v>189</v>
      </c>
      <c r="D262" s="11">
        <v>4738</v>
      </c>
      <c r="E262" s="32"/>
      <c r="F262" s="12">
        <f t="shared" si="9"/>
        <v>0</v>
      </c>
    </row>
    <row r="263" spans="1:6" ht="18" customHeight="1" thickTop="1" thickBot="1" x14ac:dyDescent="0.3">
      <c r="A263" s="6" t="s">
        <v>95</v>
      </c>
      <c r="B263" s="6"/>
      <c r="C263" s="6" t="s">
        <v>189</v>
      </c>
      <c r="D263" s="11">
        <v>4738</v>
      </c>
      <c r="E263" s="32"/>
      <c r="F263" s="12">
        <f t="shared" si="9"/>
        <v>0</v>
      </c>
    </row>
    <row r="264" spans="1:6" ht="18" customHeight="1" thickTop="1" thickBot="1" x14ac:dyDescent="0.3">
      <c r="A264" s="6" t="s">
        <v>96</v>
      </c>
      <c r="B264" s="6"/>
      <c r="C264" s="6" t="s">
        <v>189</v>
      </c>
      <c r="D264" s="11">
        <v>4738</v>
      </c>
      <c r="E264" s="32"/>
      <c r="F264" s="12">
        <f t="shared" si="9"/>
        <v>0</v>
      </c>
    </row>
    <row r="265" spans="1:6" ht="18" customHeight="1" thickTop="1" thickBot="1" x14ac:dyDescent="0.3">
      <c r="A265" s="6" t="s">
        <v>97</v>
      </c>
      <c r="B265" s="6"/>
      <c r="C265" s="6" t="s">
        <v>189</v>
      </c>
      <c r="D265" s="11">
        <v>4786</v>
      </c>
      <c r="E265" s="32"/>
      <c r="F265" s="12">
        <f t="shared" si="9"/>
        <v>0</v>
      </c>
    </row>
    <row r="266" spans="1:6" ht="18" customHeight="1" thickTop="1" thickBot="1" x14ac:dyDescent="0.3">
      <c r="A266" s="6" t="s">
        <v>98</v>
      </c>
      <c r="B266" s="6"/>
      <c r="C266" s="6" t="s">
        <v>189</v>
      </c>
      <c r="D266" s="11">
        <v>4834</v>
      </c>
      <c r="E266" s="32"/>
      <c r="F266" s="12">
        <f t="shared" si="9"/>
        <v>0</v>
      </c>
    </row>
    <row r="267" spans="1:6" ht="18" customHeight="1" thickTop="1" thickBot="1" x14ac:dyDescent="0.3">
      <c r="A267" s="6" t="s">
        <v>99</v>
      </c>
      <c r="B267" s="6"/>
      <c r="C267" s="6" t="s">
        <v>189</v>
      </c>
      <c r="D267" s="11">
        <v>4883</v>
      </c>
      <c r="E267" s="32"/>
      <c r="F267" s="12">
        <f t="shared" si="9"/>
        <v>0</v>
      </c>
    </row>
    <row r="268" spans="1:6" ht="18.600000000000001" customHeight="1" thickTop="1" thickBot="1" x14ac:dyDescent="0.3">
      <c r="A268" s="6" t="s">
        <v>100</v>
      </c>
      <c r="B268" s="6"/>
      <c r="C268" s="6" t="s">
        <v>189</v>
      </c>
      <c r="D268" s="11">
        <v>5138</v>
      </c>
      <c r="E268" s="32"/>
      <c r="F268" s="12">
        <f t="shared" si="9"/>
        <v>0</v>
      </c>
    </row>
    <row r="269" spans="1:6" ht="18.600000000000001" customHeight="1" thickTop="1" thickBot="1" x14ac:dyDescent="0.3">
      <c r="A269" s="6" t="s">
        <v>101</v>
      </c>
      <c r="B269" s="6"/>
      <c r="C269" s="6" t="s">
        <v>189</v>
      </c>
      <c r="D269" s="11">
        <v>5471</v>
      </c>
      <c r="E269" s="32"/>
      <c r="F269" s="12">
        <f t="shared" si="9"/>
        <v>0</v>
      </c>
    </row>
    <row r="270" spans="1:6" ht="18.600000000000001" customHeight="1" thickTop="1" thickBot="1" x14ac:dyDescent="0.3">
      <c r="A270" s="51" t="s">
        <v>306</v>
      </c>
      <c r="B270" s="52"/>
      <c r="C270" s="52"/>
      <c r="D270" s="52"/>
      <c r="E270" s="52"/>
      <c r="F270" s="52"/>
    </row>
    <row r="271" spans="1:6" ht="25.5" customHeight="1" thickTop="1" thickBot="1" x14ac:dyDescent="0.3">
      <c r="A271" s="6" t="s">
        <v>366</v>
      </c>
      <c r="B271" s="6"/>
      <c r="C271" s="6" t="s">
        <v>189</v>
      </c>
      <c r="D271" s="11">
        <v>8000</v>
      </c>
      <c r="E271" s="32"/>
      <c r="F271" s="12">
        <f t="shared" si="9"/>
        <v>0</v>
      </c>
    </row>
    <row r="272" spans="1:6" ht="33" customHeight="1" thickTop="1" thickBot="1" x14ac:dyDescent="0.3">
      <c r="A272" s="6" t="s">
        <v>102</v>
      </c>
      <c r="B272" s="6"/>
      <c r="C272" s="6" t="s">
        <v>189</v>
      </c>
      <c r="D272" s="11">
        <v>8000</v>
      </c>
      <c r="E272" s="32"/>
      <c r="F272" s="12">
        <f t="shared" si="9"/>
        <v>0</v>
      </c>
    </row>
    <row r="273" spans="1:6" ht="27.75" customHeight="1" thickTop="1" thickBot="1" x14ac:dyDescent="0.3">
      <c r="A273" s="6" t="s">
        <v>103</v>
      </c>
      <c r="B273" s="6"/>
      <c r="C273" s="6" t="s">
        <v>189</v>
      </c>
      <c r="D273" s="11">
        <v>8000</v>
      </c>
      <c r="E273" s="32"/>
      <c r="F273" s="12">
        <f t="shared" si="9"/>
        <v>0</v>
      </c>
    </row>
    <row r="274" spans="1:6" ht="23.25" customHeight="1" thickTop="1" thickBot="1" x14ac:dyDescent="0.3">
      <c r="A274" s="6" t="s">
        <v>104</v>
      </c>
      <c r="B274" s="6"/>
      <c r="C274" s="6" t="s">
        <v>189</v>
      </c>
      <c r="D274" s="11">
        <v>8000</v>
      </c>
      <c r="E274" s="32"/>
      <c r="F274" s="12">
        <f t="shared" si="9"/>
        <v>0</v>
      </c>
    </row>
    <row r="275" spans="1:6" ht="27" customHeight="1" thickTop="1" thickBot="1" x14ac:dyDescent="0.3">
      <c r="A275" s="6" t="s">
        <v>105</v>
      </c>
      <c r="B275" s="6"/>
      <c r="C275" s="6" t="s">
        <v>189</v>
      </c>
      <c r="D275" s="11">
        <v>8000</v>
      </c>
      <c r="E275" s="32"/>
      <c r="F275" s="12">
        <f t="shared" si="9"/>
        <v>0</v>
      </c>
    </row>
    <row r="276" spans="1:6" ht="23.25" customHeight="1" thickTop="1" thickBot="1" x14ac:dyDescent="0.3">
      <c r="A276" s="6" t="s">
        <v>106</v>
      </c>
      <c r="B276" s="6"/>
      <c r="C276" s="6" t="s">
        <v>189</v>
      </c>
      <c r="D276" s="11">
        <v>8000</v>
      </c>
      <c r="E276" s="32"/>
      <c r="F276" s="12">
        <f t="shared" si="9"/>
        <v>0</v>
      </c>
    </row>
    <row r="277" spans="1:6" ht="22.5" customHeight="1" thickTop="1" thickBot="1" x14ac:dyDescent="0.3">
      <c r="A277" s="6" t="s">
        <v>107</v>
      </c>
      <c r="B277" s="6"/>
      <c r="C277" s="6" t="s">
        <v>189</v>
      </c>
      <c r="D277" s="11">
        <v>8200</v>
      </c>
      <c r="E277" s="32"/>
      <c r="F277" s="12">
        <f t="shared" si="9"/>
        <v>0</v>
      </c>
    </row>
    <row r="278" spans="1:6" ht="22.5" thickTop="1" thickBot="1" x14ac:dyDescent="0.3">
      <c r="A278" s="63" t="s">
        <v>51</v>
      </c>
      <c r="B278" s="64"/>
      <c r="C278" s="64"/>
      <c r="D278" s="64"/>
      <c r="E278" s="64"/>
      <c r="F278" s="65"/>
    </row>
    <row r="279" spans="1:6" ht="22.5" thickTop="1" thickBot="1" x14ac:dyDescent="0.3">
      <c r="A279" s="51" t="s">
        <v>369</v>
      </c>
      <c r="B279" s="52"/>
      <c r="C279" s="52"/>
      <c r="D279" s="52"/>
      <c r="E279" s="52"/>
      <c r="F279" s="52"/>
    </row>
    <row r="280" spans="1:6" ht="20.25" thickTop="1" thickBot="1" x14ac:dyDescent="0.3">
      <c r="A280" s="6" t="s">
        <v>368</v>
      </c>
      <c r="B280" s="6"/>
      <c r="C280" s="6" t="s">
        <v>189</v>
      </c>
      <c r="D280" s="11">
        <v>550</v>
      </c>
      <c r="E280" s="32"/>
      <c r="F280" s="12">
        <f>D280*E280</f>
        <v>0</v>
      </c>
    </row>
    <row r="281" spans="1:6" ht="20.25" thickTop="1" thickBot="1" x14ac:dyDescent="0.3">
      <c r="A281" s="6" t="s">
        <v>149</v>
      </c>
      <c r="B281" s="6"/>
      <c r="C281" s="6" t="s">
        <v>189</v>
      </c>
      <c r="D281" s="11">
        <v>825</v>
      </c>
      <c r="E281" s="32"/>
      <c r="F281" s="12">
        <f t="shared" si="9"/>
        <v>0</v>
      </c>
    </row>
    <row r="282" spans="1:6" ht="20.25" thickTop="1" thickBot="1" x14ac:dyDescent="0.3">
      <c r="A282" s="6" t="s">
        <v>151</v>
      </c>
      <c r="B282" s="6"/>
      <c r="C282" s="6" t="s">
        <v>189</v>
      </c>
      <c r="D282" s="11">
        <v>880</v>
      </c>
      <c r="E282" s="32"/>
      <c r="F282" s="12">
        <f t="shared" si="9"/>
        <v>0</v>
      </c>
    </row>
    <row r="283" spans="1:6" ht="20.25" thickTop="1" thickBot="1" x14ac:dyDescent="0.3">
      <c r="A283" s="6" t="s">
        <v>150</v>
      </c>
      <c r="B283" s="6"/>
      <c r="C283" s="6" t="s">
        <v>189</v>
      </c>
      <c r="D283" s="11">
        <v>931</v>
      </c>
      <c r="E283" s="32"/>
      <c r="F283" s="12">
        <f t="shared" si="9"/>
        <v>0</v>
      </c>
    </row>
    <row r="284" spans="1:6" ht="20.25" thickTop="1" thickBot="1" x14ac:dyDescent="0.3">
      <c r="A284" s="6" t="s">
        <v>152</v>
      </c>
      <c r="B284" s="6"/>
      <c r="C284" s="6" t="s">
        <v>189</v>
      </c>
      <c r="D284" s="11">
        <v>980</v>
      </c>
      <c r="E284" s="32">
        <v>0</v>
      </c>
      <c r="F284" s="12">
        <f t="shared" si="9"/>
        <v>0</v>
      </c>
    </row>
    <row r="285" spans="1:6" ht="20.25" thickTop="1" thickBot="1" x14ac:dyDescent="0.3">
      <c r="A285" s="6" t="s">
        <v>153</v>
      </c>
      <c r="B285" s="6"/>
      <c r="C285" s="6" t="s">
        <v>189</v>
      </c>
      <c r="D285" s="11">
        <v>1045</v>
      </c>
      <c r="E285" s="32">
        <v>0</v>
      </c>
      <c r="F285" s="12">
        <f t="shared" si="9"/>
        <v>0</v>
      </c>
    </row>
    <row r="286" spans="1:6" ht="20.25" thickTop="1" thickBot="1" x14ac:dyDescent="0.3">
      <c r="A286" s="6" t="s">
        <v>367</v>
      </c>
      <c r="B286" s="6"/>
      <c r="C286" s="6" t="s">
        <v>189</v>
      </c>
      <c r="D286" s="11">
        <v>900</v>
      </c>
      <c r="E286" s="32"/>
      <c r="F286" s="12">
        <f t="shared" si="9"/>
        <v>0</v>
      </c>
    </row>
    <row r="287" spans="1:6" ht="22.5" thickTop="1" thickBot="1" x14ac:dyDescent="0.3">
      <c r="A287" s="51" t="s">
        <v>370</v>
      </c>
      <c r="B287" s="52"/>
      <c r="C287" s="52"/>
      <c r="D287" s="52"/>
      <c r="E287" s="52"/>
      <c r="F287" s="52"/>
    </row>
    <row r="288" spans="1:6" ht="20.25" thickTop="1" thickBot="1" x14ac:dyDescent="0.3">
      <c r="A288" s="6" t="s">
        <v>122</v>
      </c>
      <c r="B288" s="6"/>
      <c r="C288" s="6" t="s">
        <v>189</v>
      </c>
      <c r="D288" s="11">
        <v>849</v>
      </c>
      <c r="E288" s="32"/>
      <c r="F288" s="12">
        <f t="shared" si="9"/>
        <v>0</v>
      </c>
    </row>
    <row r="289" spans="1:6" ht="20.25" thickTop="1" thickBot="1" x14ac:dyDescent="0.3">
      <c r="A289" s="6" t="s">
        <v>123</v>
      </c>
      <c r="B289" s="6"/>
      <c r="C289" s="6" t="s">
        <v>189</v>
      </c>
      <c r="D289" s="11">
        <v>928</v>
      </c>
      <c r="E289" s="32"/>
      <c r="F289" s="12">
        <f t="shared" si="9"/>
        <v>0</v>
      </c>
    </row>
    <row r="290" spans="1:6" ht="20.25" thickTop="1" thickBot="1" x14ac:dyDescent="0.3">
      <c r="A290" s="6" t="s">
        <v>124</v>
      </c>
      <c r="B290" s="6"/>
      <c r="C290" s="6" t="s">
        <v>189</v>
      </c>
      <c r="D290" s="11">
        <v>990</v>
      </c>
      <c r="E290" s="32"/>
      <c r="F290" s="12">
        <f t="shared" si="9"/>
        <v>0</v>
      </c>
    </row>
    <row r="291" spans="1:6" ht="20.25" thickTop="1" thickBot="1" x14ac:dyDescent="0.3">
      <c r="A291" s="6" t="s">
        <v>125</v>
      </c>
      <c r="B291" s="6"/>
      <c r="C291" s="6" t="s">
        <v>189</v>
      </c>
      <c r="D291" s="11">
        <v>1050</v>
      </c>
      <c r="E291" s="32"/>
      <c r="F291" s="12">
        <f t="shared" si="9"/>
        <v>0</v>
      </c>
    </row>
    <row r="292" spans="1:6" ht="20.25" thickTop="1" thickBot="1" x14ac:dyDescent="0.3">
      <c r="A292" s="6" t="s">
        <v>126</v>
      </c>
      <c r="B292" s="6"/>
      <c r="C292" s="6" t="s">
        <v>189</v>
      </c>
      <c r="D292" s="11">
        <v>1135</v>
      </c>
      <c r="E292" s="32"/>
      <c r="F292" s="12">
        <f t="shared" si="9"/>
        <v>0</v>
      </c>
    </row>
    <row r="293" spans="1:6" ht="22.5" thickTop="1" thickBot="1" x14ac:dyDescent="0.3">
      <c r="A293" s="63" t="s">
        <v>371</v>
      </c>
      <c r="B293" s="64"/>
      <c r="C293" s="64"/>
      <c r="D293" s="64"/>
      <c r="E293" s="64"/>
      <c r="F293" s="65"/>
    </row>
    <row r="294" spans="1:6" ht="20.25" thickTop="1" thickBot="1" x14ac:dyDescent="0.3">
      <c r="A294" s="6" t="s">
        <v>154</v>
      </c>
      <c r="B294" s="6"/>
      <c r="C294" s="6" t="s">
        <v>189</v>
      </c>
      <c r="D294" s="11">
        <v>9526</v>
      </c>
      <c r="E294" s="28"/>
      <c r="F294" s="12">
        <f t="shared" ref="F294:F302" si="10">D294*E294</f>
        <v>0</v>
      </c>
    </row>
    <row r="295" spans="1:6" ht="20.25" thickTop="1" thickBot="1" x14ac:dyDescent="0.3">
      <c r="A295" s="6" t="s">
        <v>155</v>
      </c>
      <c r="B295" s="6"/>
      <c r="C295" s="6" t="s">
        <v>189</v>
      </c>
      <c r="D295" s="11">
        <v>10557</v>
      </c>
      <c r="E295" s="28"/>
      <c r="F295" s="12">
        <f t="shared" si="10"/>
        <v>0</v>
      </c>
    </row>
    <row r="296" spans="1:6" ht="20.25" thickTop="1" thickBot="1" x14ac:dyDescent="0.3">
      <c r="A296" s="3" t="s">
        <v>372</v>
      </c>
      <c r="B296" s="3"/>
      <c r="C296" s="6" t="s">
        <v>189</v>
      </c>
      <c r="D296" s="11">
        <v>6450</v>
      </c>
      <c r="E296" s="28"/>
      <c r="F296" s="12">
        <f t="shared" si="10"/>
        <v>0</v>
      </c>
    </row>
    <row r="297" spans="1:6" ht="39" thickTop="1" thickBot="1" x14ac:dyDescent="0.3">
      <c r="A297" s="6" t="s">
        <v>373</v>
      </c>
      <c r="B297" s="6"/>
      <c r="C297" s="6" t="s">
        <v>189</v>
      </c>
      <c r="D297" s="11">
        <v>7370</v>
      </c>
      <c r="E297" s="28"/>
      <c r="F297" s="12">
        <f t="shared" si="10"/>
        <v>0</v>
      </c>
    </row>
    <row r="298" spans="1:6" ht="20.25" thickTop="1" thickBot="1" x14ac:dyDescent="0.3">
      <c r="A298" s="3" t="s">
        <v>374</v>
      </c>
      <c r="B298" s="6"/>
      <c r="C298" s="6" t="s">
        <v>189</v>
      </c>
      <c r="D298" s="11">
        <v>3000</v>
      </c>
      <c r="E298" s="28"/>
      <c r="F298" s="12">
        <f t="shared" si="10"/>
        <v>0</v>
      </c>
    </row>
    <row r="299" spans="1:6" ht="20.25" thickTop="1" thickBot="1" x14ac:dyDescent="0.3">
      <c r="A299" s="3" t="s">
        <v>375</v>
      </c>
      <c r="B299" s="6"/>
      <c r="C299" s="6" t="s">
        <v>189</v>
      </c>
      <c r="D299" s="11">
        <v>3550</v>
      </c>
      <c r="E299" s="28"/>
      <c r="F299" s="12"/>
    </row>
    <row r="300" spans="1:6" ht="20.25" thickTop="1" thickBot="1" x14ac:dyDescent="0.3">
      <c r="A300" s="6" t="s">
        <v>156</v>
      </c>
      <c r="B300" s="6"/>
      <c r="C300" s="6" t="s">
        <v>260</v>
      </c>
      <c r="D300" s="11">
        <v>4929</v>
      </c>
      <c r="E300" s="28"/>
      <c r="F300" s="12">
        <f t="shared" si="10"/>
        <v>0</v>
      </c>
    </row>
    <row r="301" spans="1:6" ht="20.25" thickTop="1" thickBot="1" x14ac:dyDescent="0.3">
      <c r="A301" s="6" t="s">
        <v>157</v>
      </c>
      <c r="B301" s="6"/>
      <c r="C301" s="6" t="s">
        <v>260</v>
      </c>
      <c r="D301" s="11">
        <v>5380</v>
      </c>
      <c r="E301" s="28"/>
      <c r="F301" s="12">
        <f t="shared" si="10"/>
        <v>0</v>
      </c>
    </row>
    <row r="302" spans="1:6" ht="20.25" thickTop="1" thickBot="1" x14ac:dyDescent="0.3">
      <c r="A302" s="6" t="s">
        <v>158</v>
      </c>
      <c r="B302" s="6"/>
      <c r="C302" s="6" t="s">
        <v>260</v>
      </c>
      <c r="D302" s="11">
        <v>7208</v>
      </c>
      <c r="E302" s="28"/>
      <c r="F302" s="12">
        <f t="shared" si="10"/>
        <v>0</v>
      </c>
    </row>
    <row r="303" spans="1:6" ht="22.5" thickTop="1" thickBot="1" x14ac:dyDescent="0.3">
      <c r="A303" s="58" t="s">
        <v>52</v>
      </c>
      <c r="B303" s="59"/>
      <c r="C303" s="59"/>
      <c r="D303" s="59"/>
      <c r="E303" s="59"/>
      <c r="F303" s="60"/>
    </row>
    <row r="304" spans="1:6" ht="20.25" thickTop="1" thickBot="1" x14ac:dyDescent="0.3">
      <c r="A304" s="6" t="s">
        <v>175</v>
      </c>
      <c r="B304" s="6"/>
      <c r="C304" s="6" t="s">
        <v>189</v>
      </c>
      <c r="D304" s="11">
        <v>1835</v>
      </c>
      <c r="E304" s="14"/>
      <c r="F304" s="12">
        <f t="shared" ref="F304:F312" si="11">D304*E304</f>
        <v>0</v>
      </c>
    </row>
    <row r="305" spans="1:6" ht="20.25" thickTop="1" thickBot="1" x14ac:dyDescent="0.3">
      <c r="A305" s="6" t="s">
        <v>173</v>
      </c>
      <c r="B305" s="6"/>
      <c r="C305" s="6" t="s">
        <v>189</v>
      </c>
      <c r="D305" s="11">
        <v>1860</v>
      </c>
      <c r="E305" s="14">
        <v>0</v>
      </c>
      <c r="F305" s="12">
        <f t="shared" si="11"/>
        <v>0</v>
      </c>
    </row>
    <row r="306" spans="1:6" ht="20.25" thickTop="1" thickBot="1" x14ac:dyDescent="0.3">
      <c r="A306" s="6" t="s">
        <v>174</v>
      </c>
      <c r="B306" s="6"/>
      <c r="C306" s="6" t="s">
        <v>189</v>
      </c>
      <c r="D306" s="11">
        <v>3550</v>
      </c>
      <c r="E306" s="14"/>
      <c r="F306" s="12">
        <f t="shared" si="11"/>
        <v>0</v>
      </c>
    </row>
    <row r="307" spans="1:6" ht="20.25" thickTop="1" thickBot="1" x14ac:dyDescent="0.3">
      <c r="A307" s="6" t="s">
        <v>172</v>
      </c>
      <c r="B307" s="6"/>
      <c r="C307" s="6" t="s">
        <v>189</v>
      </c>
      <c r="D307" s="11">
        <v>769</v>
      </c>
      <c r="E307" s="14"/>
      <c r="F307" s="12">
        <f t="shared" si="11"/>
        <v>0</v>
      </c>
    </row>
    <row r="308" spans="1:6" ht="20.25" thickTop="1" thickBot="1" x14ac:dyDescent="0.3">
      <c r="A308" s="6" t="s">
        <v>171</v>
      </c>
      <c r="B308" s="6"/>
      <c r="C308" s="6" t="s">
        <v>189</v>
      </c>
      <c r="D308" s="11">
        <v>1500</v>
      </c>
      <c r="E308" s="14">
        <v>0</v>
      </c>
      <c r="F308" s="12">
        <f>D308*E308</f>
        <v>0</v>
      </c>
    </row>
    <row r="309" spans="1:6" ht="39" thickTop="1" thickBot="1" x14ac:dyDescent="0.3">
      <c r="A309" s="6" t="s">
        <v>376</v>
      </c>
      <c r="B309" s="6"/>
      <c r="C309" s="6" t="s">
        <v>189</v>
      </c>
      <c r="D309" s="11"/>
      <c r="E309" s="14"/>
      <c r="F309" s="12"/>
    </row>
    <row r="310" spans="1:6" ht="39" thickTop="1" thickBot="1" x14ac:dyDescent="0.3">
      <c r="A310" s="6" t="s">
        <v>377</v>
      </c>
      <c r="B310" s="6"/>
      <c r="C310" s="6" t="s">
        <v>189</v>
      </c>
      <c r="D310" s="11"/>
      <c r="E310" s="14"/>
      <c r="F310" s="12"/>
    </row>
    <row r="311" spans="1:6" ht="39" thickTop="1" thickBot="1" x14ac:dyDescent="0.3">
      <c r="A311" s="6" t="s">
        <v>378</v>
      </c>
      <c r="B311" s="6"/>
      <c r="C311" s="6" t="s">
        <v>189</v>
      </c>
      <c r="D311" s="11"/>
      <c r="E311" s="14"/>
      <c r="F311" s="12"/>
    </row>
    <row r="312" spans="1:6" ht="39" thickTop="1" thickBot="1" x14ac:dyDescent="0.3">
      <c r="A312" s="6" t="s">
        <v>379</v>
      </c>
      <c r="B312" s="6"/>
      <c r="C312" s="6" t="s">
        <v>189</v>
      </c>
      <c r="D312" s="11">
        <v>1318</v>
      </c>
      <c r="E312" s="14"/>
      <c r="F312" s="12">
        <f t="shared" si="11"/>
        <v>0</v>
      </c>
    </row>
    <row r="313" spans="1:6" ht="22.5" thickTop="1" thickBot="1" x14ac:dyDescent="0.3">
      <c r="A313" s="58" t="s">
        <v>309</v>
      </c>
      <c r="B313" s="59"/>
      <c r="C313" s="59"/>
      <c r="D313" s="59"/>
      <c r="E313" s="59"/>
      <c r="F313" s="60"/>
    </row>
    <row r="314" spans="1:6" ht="20.25" thickTop="1" thickBot="1" x14ac:dyDescent="0.3">
      <c r="A314" s="6" t="s">
        <v>159</v>
      </c>
      <c r="B314" s="6"/>
      <c r="C314" s="6"/>
      <c r="D314" s="11">
        <v>4250</v>
      </c>
      <c r="E314" s="28"/>
      <c r="F314" s="12">
        <f>D314*E314</f>
        <v>0</v>
      </c>
    </row>
    <row r="315" spans="1:6" ht="20.25" thickTop="1" thickBot="1" x14ac:dyDescent="0.3">
      <c r="A315" s="6" t="s">
        <v>160</v>
      </c>
      <c r="B315" s="6"/>
      <c r="C315" s="6"/>
      <c r="D315" s="11">
        <v>2000</v>
      </c>
      <c r="E315" s="28"/>
      <c r="F315" s="12">
        <f>D315*E315</f>
        <v>0</v>
      </c>
    </row>
    <row r="316" spans="1:6" ht="39" thickTop="1" thickBot="1" x14ac:dyDescent="0.3">
      <c r="A316" s="6" t="s">
        <v>170</v>
      </c>
      <c r="B316" s="6"/>
      <c r="C316" s="6"/>
      <c r="D316" s="11"/>
      <c r="E316" s="28"/>
      <c r="F316" s="12">
        <f>D316*E316</f>
        <v>0</v>
      </c>
    </row>
    <row r="317" spans="1:6" ht="20.25" thickTop="1" thickBot="1" x14ac:dyDescent="0.3">
      <c r="A317" s="6" t="s">
        <v>161</v>
      </c>
      <c r="B317" s="6"/>
      <c r="C317" s="6"/>
      <c r="D317" s="11">
        <v>2230</v>
      </c>
      <c r="E317" s="28"/>
      <c r="F317" s="12">
        <f>D317*E317</f>
        <v>0</v>
      </c>
    </row>
    <row r="318" spans="1:6" ht="22.5" thickTop="1" thickBot="1" x14ac:dyDescent="0.3">
      <c r="A318" s="63" t="s">
        <v>38</v>
      </c>
      <c r="B318" s="64"/>
      <c r="C318" s="64"/>
      <c r="D318" s="64"/>
      <c r="E318" s="64"/>
      <c r="F318" s="65"/>
    </row>
    <row r="319" spans="1:6" ht="39" thickTop="1" thickBot="1" x14ac:dyDescent="0.3">
      <c r="A319" s="6" t="s">
        <v>146</v>
      </c>
      <c r="B319" s="6"/>
      <c r="C319" s="6"/>
      <c r="D319" s="11">
        <v>13930</v>
      </c>
      <c r="E319" s="28"/>
      <c r="F319" s="12">
        <f>D319*E319</f>
        <v>0</v>
      </c>
    </row>
    <row r="320" spans="1:6" ht="39" thickTop="1" thickBot="1" x14ac:dyDescent="0.3">
      <c r="A320" s="6" t="s">
        <v>147</v>
      </c>
      <c r="B320" s="6"/>
      <c r="C320" s="6"/>
      <c r="D320" s="11">
        <v>6441</v>
      </c>
      <c r="E320" s="28"/>
      <c r="F320" s="12">
        <f>D320*E320</f>
        <v>0</v>
      </c>
    </row>
    <row r="321" spans="1:6" ht="39" thickTop="1" thickBot="1" x14ac:dyDescent="0.3">
      <c r="A321" s="6" t="s">
        <v>148</v>
      </c>
      <c r="B321" s="6"/>
      <c r="C321" s="6"/>
      <c r="D321" s="11">
        <v>9548</v>
      </c>
      <c r="E321" s="28"/>
      <c r="F321" s="12">
        <f>D321*E321</f>
        <v>0</v>
      </c>
    </row>
    <row r="322" spans="1:6" ht="22.5" thickTop="1" thickBot="1" x14ac:dyDescent="0.3">
      <c r="A322" s="58" t="s">
        <v>53</v>
      </c>
      <c r="B322" s="59"/>
      <c r="C322" s="59"/>
      <c r="D322" s="59"/>
      <c r="E322" s="59"/>
      <c r="F322" s="59"/>
    </row>
    <row r="323" spans="1:6" ht="20.25" thickTop="1" thickBot="1" x14ac:dyDescent="0.3">
      <c r="A323" s="6" t="s">
        <v>176</v>
      </c>
      <c r="B323" s="6"/>
      <c r="C323" s="6"/>
      <c r="D323" s="11">
        <v>1651</v>
      </c>
      <c r="E323" s="14">
        <v>0</v>
      </c>
      <c r="F323" s="12">
        <f>D323*E323</f>
        <v>0</v>
      </c>
    </row>
    <row r="324" spans="1:6" ht="20.25" thickTop="1" thickBot="1" x14ac:dyDescent="0.3">
      <c r="A324" s="6" t="s">
        <v>177</v>
      </c>
      <c r="B324" s="6"/>
      <c r="C324" s="6"/>
      <c r="D324" s="11">
        <v>1820</v>
      </c>
      <c r="E324" s="14">
        <v>0</v>
      </c>
      <c r="F324" s="12">
        <f>D324*E324</f>
        <v>0</v>
      </c>
    </row>
    <row r="325" spans="1:6" ht="20.25" thickTop="1" thickBot="1" x14ac:dyDescent="0.3">
      <c r="A325" s="6" t="s">
        <v>178</v>
      </c>
      <c r="B325" s="6"/>
      <c r="C325" s="6"/>
      <c r="D325" s="11">
        <v>1171</v>
      </c>
      <c r="E325" s="14">
        <v>0</v>
      </c>
      <c r="F325" s="12">
        <f>D325*E325</f>
        <v>0</v>
      </c>
    </row>
    <row r="326" spans="1:6" ht="20.25" thickTop="1" thickBot="1" x14ac:dyDescent="0.3">
      <c r="A326" s="6" t="s">
        <v>179</v>
      </c>
      <c r="B326" s="6"/>
      <c r="C326" s="6"/>
      <c r="D326" s="11">
        <v>1555</v>
      </c>
      <c r="E326" s="14">
        <v>0</v>
      </c>
      <c r="F326" s="12">
        <f>D326*E326</f>
        <v>0</v>
      </c>
    </row>
    <row r="327" spans="1:6" ht="22.5" thickTop="1" thickBot="1" x14ac:dyDescent="0.3">
      <c r="A327" s="58" t="s">
        <v>320</v>
      </c>
      <c r="B327" s="59"/>
      <c r="C327" s="59"/>
      <c r="D327" s="59"/>
      <c r="E327" s="59"/>
      <c r="F327" s="60"/>
    </row>
    <row r="328" spans="1:6" ht="20.25" thickTop="1" thickBot="1" x14ac:dyDescent="0.3">
      <c r="A328" s="6" t="s">
        <v>142</v>
      </c>
      <c r="B328" s="6"/>
      <c r="C328" s="6"/>
      <c r="D328" s="11">
        <v>2599</v>
      </c>
      <c r="E328" s="15"/>
      <c r="F328" s="12">
        <f t="shared" ref="F328:F337" si="12">D328*E328</f>
        <v>0</v>
      </c>
    </row>
    <row r="329" spans="1:6" ht="39" thickTop="1" thickBot="1" x14ac:dyDescent="0.3">
      <c r="A329" s="6" t="s">
        <v>143</v>
      </c>
      <c r="B329" s="6"/>
      <c r="C329" s="6"/>
      <c r="D329" s="11">
        <v>226</v>
      </c>
      <c r="E329" s="15"/>
      <c r="F329" s="12">
        <f t="shared" si="12"/>
        <v>0</v>
      </c>
    </row>
    <row r="330" spans="1:6" ht="20.25" thickTop="1" thickBot="1" x14ac:dyDescent="0.3">
      <c r="A330" s="6" t="s">
        <v>144</v>
      </c>
      <c r="B330" s="6"/>
      <c r="C330" s="6"/>
      <c r="D330" s="11">
        <v>407</v>
      </c>
      <c r="E330" s="15"/>
      <c r="F330" s="12">
        <f t="shared" si="12"/>
        <v>0</v>
      </c>
    </row>
    <row r="331" spans="1:6" ht="20.25" thickTop="1" thickBot="1" x14ac:dyDescent="0.3">
      <c r="A331" s="6" t="s">
        <v>387</v>
      </c>
      <c r="B331" s="6"/>
      <c r="C331" s="6"/>
      <c r="D331" s="11">
        <v>7000</v>
      </c>
      <c r="E331" s="15">
        <v>2</v>
      </c>
      <c r="F331" s="12">
        <f t="shared" si="12"/>
        <v>14000</v>
      </c>
    </row>
    <row r="332" spans="1:6" ht="20.25" thickTop="1" thickBot="1" x14ac:dyDescent="0.3">
      <c r="A332" s="6" t="s">
        <v>386</v>
      </c>
      <c r="B332" s="6"/>
      <c r="C332" s="6"/>
      <c r="D332" s="11">
        <v>250</v>
      </c>
      <c r="E332" s="15">
        <v>3</v>
      </c>
      <c r="F332" s="12">
        <f t="shared" si="12"/>
        <v>750</v>
      </c>
    </row>
    <row r="333" spans="1:6" ht="22.5" thickTop="1" thickBot="1" x14ac:dyDescent="0.3">
      <c r="A333" s="58" t="s">
        <v>39</v>
      </c>
      <c r="B333" s="59"/>
      <c r="C333" s="59"/>
      <c r="D333" s="59"/>
      <c r="E333" s="59"/>
      <c r="F333" s="60"/>
    </row>
    <row r="334" spans="1:6" ht="39" thickTop="1" thickBot="1" x14ac:dyDescent="0.3">
      <c r="A334" s="6" t="s">
        <v>138</v>
      </c>
      <c r="B334" s="6"/>
      <c r="C334" s="6"/>
      <c r="D334" s="11">
        <v>1500</v>
      </c>
      <c r="E334" s="14">
        <v>1</v>
      </c>
      <c r="F334" s="12">
        <f t="shared" si="12"/>
        <v>1500</v>
      </c>
    </row>
    <row r="335" spans="1:6" ht="20.25" thickTop="1" thickBot="1" x14ac:dyDescent="0.3">
      <c r="A335" s="6" t="s">
        <v>381</v>
      </c>
      <c r="B335" s="6"/>
      <c r="C335" s="6"/>
      <c r="D335" s="11">
        <v>200</v>
      </c>
      <c r="E335" s="14">
        <v>9</v>
      </c>
      <c r="F335" s="12">
        <f t="shared" si="12"/>
        <v>1800</v>
      </c>
    </row>
    <row r="336" spans="1:6" ht="20.25" thickTop="1" thickBot="1" x14ac:dyDescent="0.3">
      <c r="A336" s="6" t="s">
        <v>137</v>
      </c>
      <c r="B336" s="6"/>
      <c r="C336" s="6"/>
      <c r="D336" s="11">
        <v>2500</v>
      </c>
      <c r="E336" s="14">
        <v>1</v>
      </c>
      <c r="F336" s="12">
        <f t="shared" si="12"/>
        <v>2500</v>
      </c>
    </row>
    <row r="337" spans="1:6" ht="20.25" thickTop="1" thickBot="1" x14ac:dyDescent="0.3">
      <c r="A337" s="6" t="s">
        <v>139</v>
      </c>
      <c r="B337" s="6"/>
      <c r="C337" s="6"/>
      <c r="D337" s="11">
        <v>2060</v>
      </c>
      <c r="E337" s="14">
        <v>1</v>
      </c>
      <c r="F337" s="12">
        <f t="shared" si="12"/>
        <v>2060</v>
      </c>
    </row>
    <row r="338" spans="1:6" ht="22.5" thickTop="1" thickBot="1" x14ac:dyDescent="0.3">
      <c r="A338" s="58" t="s">
        <v>62</v>
      </c>
      <c r="B338" s="59"/>
      <c r="C338" s="59"/>
      <c r="D338" s="59"/>
      <c r="E338" s="59"/>
      <c r="F338" s="59"/>
    </row>
    <row r="339" spans="1:6" ht="20.25" thickTop="1" thickBot="1" x14ac:dyDescent="0.3">
      <c r="A339" s="6" t="s">
        <v>316</v>
      </c>
      <c r="B339" s="6"/>
      <c r="C339" s="6"/>
      <c r="D339" s="11">
        <v>12000</v>
      </c>
      <c r="E339" s="14">
        <v>1</v>
      </c>
      <c r="F339" s="13">
        <f>D339*E339</f>
        <v>12000</v>
      </c>
    </row>
    <row r="340" spans="1:6" ht="24.75" thickTop="1" thickBot="1" x14ac:dyDescent="0.3">
      <c r="A340" s="68" t="s">
        <v>36</v>
      </c>
      <c r="B340" s="69"/>
      <c r="C340" s="69"/>
      <c r="D340" s="69"/>
      <c r="E340" s="69"/>
      <c r="F340" s="70"/>
    </row>
    <row r="341" spans="1:6" ht="33.75" customHeight="1" thickTop="1" thickBot="1" x14ac:dyDescent="0.3">
      <c r="A341" s="35"/>
      <c r="B341" s="36"/>
      <c r="C341" s="37"/>
      <c r="D341" s="3" t="s">
        <v>30</v>
      </c>
      <c r="E341" s="7">
        <f>F339+F337+F336+F335+F334+F332+F331+F330+F329+F328+F326+F325+F324+F323+F321+F320+F319+F317+F316+F315+F314+F312+F311+F310+F309+F308+F307+F306+F305+F304+F302+F301+F300+F299+F298+F297+F296+F295+F294+F292+F291+F290+F289+F288+F286+F285+F284+F283+F282+F281+F280+F277+F276+F275+F274+F273+F272+F271+F269+F268+F267+F266+F265+F264+F263+F262+F260+F259+F258+F257+F256+F255+F254+F253+F251+F250+F249+F248+F247+F246+F245+F242+F241+F240+F239+F237+F236+F235+F234+F233+F230+F229+F228+F227+F226+F225+F223+F222+F221+F220+F219+F218+F216+F215+F214+F213+F211+F210+F209+F208+F207+F204+F203+F202+F201+F199+F198+F197+F196+F195+F193+F192+F191+F189+F188+F187+F186+F184+F183+F182+F181+F180+F178+F177+F176+F175+F174+F173+F172+F171+F170+F168+F167+F166+F165+F164+F163+F162+F161+F160+F158+F157+F156+F155+F154+F153+F152+F151+F149+F148+F147+F146+F145+F144+F143+F140+F139+F138+F137+F136+F135+F133+F131+F130+F129+F128+F127+F126+F125+F124+F123+F121+F120+F119+F118+F117+F116+F115+F113+F112+F111+F110+F108+F107+F106+F105+F104+F103+F102+F101+F100+F99+F98+F97+F96+F95+F94+F93+F92+F91+F90+F89+F88+F87+F86+F85+F84+F80+F79+F78+F77+F76+F75+F73+F72+F71+F70+F69+F67+F66+F64++F63+F65+F61+F60+F59+F58+F57+F55+F54+F53+F52+F50+F49+F48+F47+F46+F45+F44+F43+F42+F40+F39+F38+F37+F36+F35+F34+F33+F32+F31+F30+F29+F28+F25+F23+F22+F21+F20+F19+F18+F17+F16+F15+F14+F13+F12+F10+F9+F8+F7+F6+F5+F4+F3</f>
        <v>82970</v>
      </c>
      <c r="F341" s="7"/>
    </row>
    <row r="342" spans="1:6" ht="27" customHeight="1" thickTop="1" thickBot="1" x14ac:dyDescent="0.3">
      <c r="A342" s="38"/>
      <c r="B342" s="39"/>
      <c r="C342" s="40"/>
      <c r="D342" s="3" t="s">
        <v>29</v>
      </c>
      <c r="E342" s="7">
        <f>ROUNDUP((0.8*E341),0)</f>
        <v>66376</v>
      </c>
      <c r="F342" s="7"/>
    </row>
    <row r="343" spans="1:6" ht="28.5" customHeight="1" thickTop="1" thickBot="1" x14ac:dyDescent="0.3">
      <c r="A343" s="38"/>
      <c r="B343" s="39"/>
      <c r="C343" s="40"/>
      <c r="D343" s="3" t="s">
        <v>9</v>
      </c>
      <c r="E343" s="7">
        <f>ROUNDUP((0.55*E341),0)</f>
        <v>45634</v>
      </c>
      <c r="F343" s="7"/>
    </row>
    <row r="344" spans="1:6" ht="24.75" customHeight="1" thickTop="1" thickBot="1" x14ac:dyDescent="0.3">
      <c r="A344" s="38"/>
      <c r="B344" s="39"/>
      <c r="C344" s="40"/>
      <c r="D344" s="3" t="s">
        <v>31</v>
      </c>
      <c r="E344" s="7">
        <v>2500</v>
      </c>
      <c r="F344" s="7">
        <f>E344</f>
        <v>2500</v>
      </c>
    </row>
    <row r="345" spans="1:6" ht="19.5" customHeight="1" thickTop="1" thickBot="1" x14ac:dyDescent="0.3">
      <c r="A345" s="38"/>
      <c r="B345" s="39"/>
      <c r="C345" s="40"/>
      <c r="D345" s="3" t="s">
        <v>10</v>
      </c>
      <c r="E345" s="7">
        <v>6500</v>
      </c>
      <c r="F345" s="7">
        <v>10000</v>
      </c>
    </row>
    <row r="346" spans="1:6" ht="31.5" customHeight="1" thickTop="1" thickBot="1" x14ac:dyDescent="0.3">
      <c r="A346" s="38"/>
      <c r="B346" s="39"/>
      <c r="C346" s="40"/>
      <c r="D346" s="3" t="s">
        <v>32</v>
      </c>
      <c r="E346" s="7">
        <f>ROUNDUP((0.08*E341),0)</f>
        <v>6638</v>
      </c>
      <c r="F346" s="7"/>
    </row>
    <row r="347" spans="1:6" ht="29.25" customHeight="1" thickTop="1" thickBot="1" x14ac:dyDescent="0.3">
      <c r="A347" s="38"/>
      <c r="B347" s="39"/>
      <c r="C347" s="40"/>
      <c r="D347" s="3" t="s">
        <v>33</v>
      </c>
      <c r="E347" s="7">
        <f>ROUNDUP((E341*0.05),0)</f>
        <v>4149</v>
      </c>
      <c r="F347" s="7"/>
    </row>
    <row r="348" spans="1:6" ht="36" customHeight="1" thickTop="1" thickBot="1" x14ac:dyDescent="0.3">
      <c r="A348" s="38"/>
      <c r="B348" s="39"/>
      <c r="C348" s="40"/>
      <c r="D348" s="16" t="s">
        <v>35</v>
      </c>
      <c r="E348" s="71">
        <f>ROUNDUP((SUM(E341:E347)),0)</f>
        <v>214767</v>
      </c>
      <c r="F348" s="72"/>
    </row>
    <row r="349" spans="1:6" ht="29.25" customHeight="1" thickTop="1" thickBot="1" x14ac:dyDescent="0.3">
      <c r="A349" s="38"/>
      <c r="B349" s="39"/>
      <c r="C349" s="40"/>
      <c r="D349" s="3" t="s">
        <v>34</v>
      </c>
      <c r="E349" s="73">
        <f>ROUNDUP((0.3*E348),0)</f>
        <v>64431</v>
      </c>
      <c r="F349" s="74"/>
    </row>
    <row r="350" spans="1:6" ht="34.5" customHeight="1" thickTop="1" thickBot="1" x14ac:dyDescent="0.3">
      <c r="A350" s="38"/>
      <c r="B350" s="39"/>
      <c r="C350" s="40"/>
      <c r="D350" s="16" t="s">
        <v>35</v>
      </c>
      <c r="E350" s="71">
        <f>ROUND((E349+E348),0)</f>
        <v>279198</v>
      </c>
      <c r="F350" s="72"/>
    </row>
    <row r="351" spans="1:6" ht="27" customHeight="1" thickTop="1" thickBot="1" x14ac:dyDescent="0.3">
      <c r="A351" s="38"/>
      <c r="B351" s="39"/>
      <c r="C351" s="40"/>
      <c r="D351" s="4" t="s">
        <v>27</v>
      </c>
      <c r="E351" s="73">
        <f>ROUNDUP((E350*0.3)*0.05,0)</f>
        <v>4188</v>
      </c>
      <c r="F351" s="74"/>
    </row>
    <row r="352" spans="1:6" ht="29.25" customHeight="1" thickTop="1" thickBot="1" x14ac:dyDescent="0.3">
      <c r="A352" s="38"/>
      <c r="B352" s="39"/>
      <c r="C352" s="40"/>
      <c r="D352" s="4" t="s">
        <v>12</v>
      </c>
      <c r="E352" s="73">
        <v>0</v>
      </c>
      <c r="F352" s="74"/>
    </row>
    <row r="353" spans="1:6" ht="20.25" thickTop="1" thickBot="1" x14ac:dyDescent="0.3">
      <c r="A353" s="38"/>
      <c r="B353" s="39"/>
      <c r="C353" s="40"/>
      <c r="D353" s="16" t="s">
        <v>318</v>
      </c>
      <c r="E353" s="71">
        <f>ROUNDUP((E350+E351+E352),0)</f>
        <v>283386</v>
      </c>
      <c r="F353" s="72"/>
    </row>
    <row r="354" spans="1:6" ht="32.25" customHeight="1" thickTop="1" thickBot="1" x14ac:dyDescent="0.3">
      <c r="A354" s="41"/>
      <c r="B354" s="42"/>
      <c r="C354" s="43"/>
      <c r="D354" s="29" t="s">
        <v>317</v>
      </c>
      <c r="E354" s="66">
        <f>E353*1.13</f>
        <v>320226.18</v>
      </c>
      <c r="F354" s="67"/>
    </row>
    <row r="355" spans="1:6" ht="15.75" thickTop="1" x14ac:dyDescent="0.25">
      <c r="F355" s="34"/>
    </row>
  </sheetData>
  <mergeCells count="60">
    <mergeCell ref="E354:F354"/>
    <mergeCell ref="A322:F322"/>
    <mergeCell ref="A327:F327"/>
    <mergeCell ref="A333:F333"/>
    <mergeCell ref="A338:F338"/>
    <mergeCell ref="A340:F340"/>
    <mergeCell ref="E348:F348"/>
    <mergeCell ref="E349:F349"/>
    <mergeCell ref="E350:F350"/>
    <mergeCell ref="E351:F351"/>
    <mergeCell ref="E352:F352"/>
    <mergeCell ref="E353:F353"/>
    <mergeCell ref="A318:F318"/>
    <mergeCell ref="A243:F243"/>
    <mergeCell ref="A244:F244"/>
    <mergeCell ref="A252:F252"/>
    <mergeCell ref="A261:F261"/>
    <mergeCell ref="A270:F270"/>
    <mergeCell ref="A278:F278"/>
    <mergeCell ref="A279:F279"/>
    <mergeCell ref="A287:F287"/>
    <mergeCell ref="A293:F293"/>
    <mergeCell ref="A303:F303"/>
    <mergeCell ref="A313:F313"/>
    <mergeCell ref="A238:F238"/>
    <mergeCell ref="A185:F185"/>
    <mergeCell ref="A190:F190"/>
    <mergeCell ref="A194:F194"/>
    <mergeCell ref="A200:F200"/>
    <mergeCell ref="A205:F205"/>
    <mergeCell ref="A206:F206"/>
    <mergeCell ref="A212:F212"/>
    <mergeCell ref="A217:F217"/>
    <mergeCell ref="A224:F224"/>
    <mergeCell ref="A231:F231"/>
    <mergeCell ref="A232:F232"/>
    <mergeCell ref="A179:F179"/>
    <mergeCell ref="A82:F82"/>
    <mergeCell ref="A109:F109"/>
    <mergeCell ref="A114:F114"/>
    <mergeCell ref="A122:F122"/>
    <mergeCell ref="A132:F132"/>
    <mergeCell ref="A134:F134"/>
    <mergeCell ref="A141:F141"/>
    <mergeCell ref="A142:F142"/>
    <mergeCell ref="A150:F150"/>
    <mergeCell ref="A159:F159"/>
    <mergeCell ref="A169:F169"/>
    <mergeCell ref="A81:F81"/>
    <mergeCell ref="A2:F2"/>
    <mergeCell ref="A11:F11"/>
    <mergeCell ref="A24:F24"/>
    <mergeCell ref="A26:F26"/>
    <mergeCell ref="A27:F27"/>
    <mergeCell ref="A41:F41"/>
    <mergeCell ref="A51:F51"/>
    <mergeCell ref="A56:F56"/>
    <mergeCell ref="A62:F62"/>
    <mergeCell ref="A68:F68"/>
    <mergeCell ref="A74:F74"/>
  </mergeCells>
  <pageMargins left="0.7" right="0.7" top="0.75" bottom="0.75" header="0.3" footer="0.3"/>
  <pageSetup paperSize="9" orientation="portrait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5"/>
  <sheetViews>
    <sheetView zoomScale="69" zoomScaleNormal="60" workbookViewId="0">
      <selection activeCell="G344" sqref="G344"/>
    </sheetView>
  </sheetViews>
  <sheetFormatPr defaultColWidth="38.7109375" defaultRowHeight="15" x14ac:dyDescent="0.25"/>
  <cols>
    <col min="1" max="1" width="69.140625" customWidth="1"/>
    <col min="2" max="2" width="14.5703125" customWidth="1"/>
    <col min="3" max="3" width="19.85546875" customWidth="1"/>
    <col min="4" max="4" width="16.85546875" customWidth="1"/>
    <col min="5" max="5" width="18.5703125" style="33" customWidth="1"/>
    <col min="6" max="6" width="24.85546875" bestFit="1" customWidth="1"/>
    <col min="7" max="7" width="79.7109375" customWidth="1"/>
  </cols>
  <sheetData>
    <row r="1" spans="1:7" ht="22.5" thickTop="1" thickBot="1" x14ac:dyDescent="0.3">
      <c r="A1" s="5" t="s">
        <v>0</v>
      </c>
      <c r="B1" s="5" t="s">
        <v>183</v>
      </c>
      <c r="C1" s="5" t="s">
        <v>188</v>
      </c>
      <c r="D1" s="5" t="s">
        <v>2</v>
      </c>
      <c r="E1" s="5" t="s">
        <v>1</v>
      </c>
      <c r="F1" s="9" t="s">
        <v>3</v>
      </c>
    </row>
    <row r="2" spans="1:7" ht="24.75" thickTop="1" thickBot="1" x14ac:dyDescent="0.3">
      <c r="A2" s="46" t="s">
        <v>42</v>
      </c>
      <c r="B2" s="47"/>
      <c r="C2" s="47"/>
      <c r="D2" s="47"/>
      <c r="E2" s="47"/>
      <c r="F2" s="48"/>
    </row>
    <row r="3" spans="1:7" ht="20.25" thickTop="1" thickBot="1" x14ac:dyDescent="0.3">
      <c r="A3" s="6" t="s">
        <v>322</v>
      </c>
      <c r="B3" s="6"/>
      <c r="C3" s="6" t="s">
        <v>191</v>
      </c>
      <c r="D3" s="11">
        <v>6000</v>
      </c>
      <c r="E3" s="14">
        <v>0</v>
      </c>
      <c r="F3" s="12">
        <f t="shared" ref="F3:F19" si="0">ROUNDUP(E3*D3,0)</f>
        <v>0</v>
      </c>
    </row>
    <row r="4" spans="1:7" ht="20.25" thickTop="1" thickBot="1" x14ac:dyDescent="0.3">
      <c r="A4" s="6" t="s">
        <v>322</v>
      </c>
      <c r="B4" s="6"/>
      <c r="C4" s="6" t="s">
        <v>191</v>
      </c>
      <c r="D4" s="11">
        <v>6650</v>
      </c>
      <c r="E4" s="14">
        <v>0</v>
      </c>
      <c r="F4" s="12">
        <f t="shared" si="0"/>
        <v>0</v>
      </c>
    </row>
    <row r="5" spans="1:7" ht="20.25" thickTop="1" thickBot="1" x14ac:dyDescent="0.3">
      <c r="A5" s="6" t="s">
        <v>321</v>
      </c>
      <c r="B5" s="6"/>
      <c r="C5" s="6" t="s">
        <v>191</v>
      </c>
      <c r="D5" s="11">
        <v>8050</v>
      </c>
      <c r="E5" s="14">
        <v>0</v>
      </c>
      <c r="F5" s="12">
        <f t="shared" si="0"/>
        <v>0</v>
      </c>
    </row>
    <row r="6" spans="1:7" ht="20.25" thickTop="1" thickBot="1" x14ac:dyDescent="0.3">
      <c r="A6" s="6" t="s">
        <v>43</v>
      </c>
      <c r="B6" s="6" t="s">
        <v>315</v>
      </c>
      <c r="C6" s="6" t="s">
        <v>189</v>
      </c>
      <c r="D6" s="11">
        <v>5650</v>
      </c>
      <c r="E6" s="14">
        <v>0</v>
      </c>
      <c r="F6" s="12">
        <f t="shared" si="0"/>
        <v>0</v>
      </c>
    </row>
    <row r="7" spans="1:7" ht="20.25" thickTop="1" thickBot="1" x14ac:dyDescent="0.3">
      <c r="A7" s="6" t="s">
        <v>43</v>
      </c>
      <c r="B7" s="6" t="s">
        <v>314</v>
      </c>
      <c r="C7" s="6" t="s">
        <v>189</v>
      </c>
      <c r="D7" s="11">
        <v>6400</v>
      </c>
      <c r="E7" s="14">
        <v>2</v>
      </c>
      <c r="F7" s="12">
        <f t="shared" si="0"/>
        <v>12800</v>
      </c>
    </row>
    <row r="8" spans="1:7" ht="20.25" thickTop="1" thickBot="1" x14ac:dyDescent="0.3">
      <c r="A8" s="6" t="s">
        <v>323</v>
      </c>
      <c r="B8" s="6" t="s">
        <v>315</v>
      </c>
      <c r="C8" s="6" t="s">
        <v>190</v>
      </c>
      <c r="D8" s="11">
        <v>5100</v>
      </c>
      <c r="E8" s="14"/>
      <c r="F8" s="12">
        <f t="shared" si="0"/>
        <v>0</v>
      </c>
    </row>
    <row r="9" spans="1:7" ht="20.25" thickTop="1" thickBot="1" x14ac:dyDescent="0.3">
      <c r="A9" s="6" t="s">
        <v>323</v>
      </c>
      <c r="B9" s="6" t="s">
        <v>314</v>
      </c>
      <c r="C9" s="6" t="s">
        <v>190</v>
      </c>
      <c r="D9" s="11">
        <v>5600</v>
      </c>
      <c r="E9" s="14"/>
      <c r="F9" s="12">
        <f t="shared" si="0"/>
        <v>0</v>
      </c>
    </row>
    <row r="10" spans="1:7" ht="20.25" thickTop="1" thickBot="1" x14ac:dyDescent="0.3">
      <c r="A10" s="6" t="s">
        <v>324</v>
      </c>
      <c r="B10" s="6" t="s">
        <v>382</v>
      </c>
      <c r="C10" s="6" t="s">
        <v>191</v>
      </c>
      <c r="D10" s="11">
        <v>3600</v>
      </c>
      <c r="E10" s="14"/>
      <c r="F10" s="12">
        <f t="shared" si="0"/>
        <v>0</v>
      </c>
    </row>
    <row r="11" spans="1:7" ht="22.5" thickTop="1" thickBot="1" x14ac:dyDescent="0.3">
      <c r="A11" s="49" t="s">
        <v>127</v>
      </c>
      <c r="B11" s="50"/>
      <c r="C11" s="50"/>
      <c r="D11" s="50"/>
      <c r="E11" s="50"/>
      <c r="F11" s="50"/>
    </row>
    <row r="12" spans="1:7" ht="20.25" thickTop="1" thickBot="1" x14ac:dyDescent="0.3">
      <c r="A12" s="6" t="s">
        <v>141</v>
      </c>
      <c r="B12" s="6"/>
      <c r="C12" s="6" t="s">
        <v>191</v>
      </c>
      <c r="D12" s="11">
        <v>17.5</v>
      </c>
      <c r="E12" s="14"/>
      <c r="F12" s="12">
        <f t="shared" si="0"/>
        <v>0</v>
      </c>
    </row>
    <row r="13" spans="1:7" ht="20.25" thickTop="1" thickBot="1" x14ac:dyDescent="0.3">
      <c r="A13" s="6" t="s">
        <v>128</v>
      </c>
      <c r="B13" s="6"/>
      <c r="C13" s="6" t="s">
        <v>191</v>
      </c>
      <c r="D13" s="11">
        <v>34</v>
      </c>
      <c r="E13" s="14">
        <v>75</v>
      </c>
      <c r="F13" s="12">
        <f t="shared" si="0"/>
        <v>2550</v>
      </c>
    </row>
    <row r="14" spans="1:7" ht="20.25" thickTop="1" thickBot="1" x14ac:dyDescent="0.3">
      <c r="A14" s="6" t="s">
        <v>129</v>
      </c>
      <c r="B14" s="6"/>
      <c r="C14" s="6" t="s">
        <v>191</v>
      </c>
      <c r="D14" s="11">
        <v>60</v>
      </c>
      <c r="E14" s="14"/>
      <c r="F14" s="12">
        <f t="shared" si="0"/>
        <v>0</v>
      </c>
    </row>
    <row r="15" spans="1:7" ht="20.25" thickTop="1" thickBot="1" x14ac:dyDescent="0.3">
      <c r="A15" s="6" t="s">
        <v>130</v>
      </c>
      <c r="B15" s="6"/>
      <c r="C15" s="6" t="s">
        <v>191</v>
      </c>
      <c r="D15" s="11">
        <v>129.5</v>
      </c>
      <c r="E15" s="14"/>
      <c r="F15" s="12">
        <f t="shared" si="0"/>
        <v>0</v>
      </c>
    </row>
    <row r="16" spans="1:7" ht="20.25" thickTop="1" thickBot="1" x14ac:dyDescent="0.3">
      <c r="A16" s="6" t="s">
        <v>180</v>
      </c>
      <c r="B16" s="6"/>
      <c r="C16" s="6" t="s">
        <v>189</v>
      </c>
      <c r="D16" s="11">
        <v>18</v>
      </c>
      <c r="E16" s="14"/>
      <c r="F16" s="12">
        <f t="shared" si="0"/>
        <v>0</v>
      </c>
      <c r="G16" s="27"/>
    </row>
    <row r="17" spans="1:7" ht="20.25" thickTop="1" thickBot="1" x14ac:dyDescent="0.3">
      <c r="A17" s="6" t="s">
        <v>131</v>
      </c>
      <c r="B17" s="6"/>
      <c r="C17" s="6" t="s">
        <v>189</v>
      </c>
      <c r="D17" s="11">
        <v>32</v>
      </c>
      <c r="E17" s="14"/>
      <c r="F17" s="12">
        <f t="shared" si="0"/>
        <v>0</v>
      </c>
      <c r="G17" s="27"/>
    </row>
    <row r="18" spans="1:7" ht="20.25" thickTop="1" thickBot="1" x14ac:dyDescent="0.3">
      <c r="A18" s="6" t="s">
        <v>132</v>
      </c>
      <c r="B18" s="6"/>
      <c r="C18" s="6" t="s">
        <v>189</v>
      </c>
      <c r="D18" s="11">
        <v>56.5</v>
      </c>
      <c r="E18" s="14"/>
      <c r="F18" s="12">
        <f t="shared" si="0"/>
        <v>0</v>
      </c>
      <c r="G18" s="27"/>
    </row>
    <row r="19" spans="1:7" ht="20.25" thickTop="1" thickBot="1" x14ac:dyDescent="0.3">
      <c r="A19" s="6" t="s">
        <v>319</v>
      </c>
      <c r="B19" s="6"/>
      <c r="C19" s="6" t="s">
        <v>189</v>
      </c>
      <c r="D19" s="11">
        <v>80</v>
      </c>
      <c r="E19" s="14"/>
      <c r="F19" s="12">
        <f t="shared" si="0"/>
        <v>0</v>
      </c>
      <c r="G19" s="27"/>
    </row>
    <row r="20" spans="1:7" ht="20.25" thickTop="1" thickBot="1" x14ac:dyDescent="0.3">
      <c r="A20" s="6" t="s">
        <v>184</v>
      </c>
      <c r="B20" s="6"/>
      <c r="C20" s="6" t="s">
        <v>190</v>
      </c>
      <c r="D20" s="11"/>
      <c r="E20" s="14"/>
      <c r="F20" s="13"/>
      <c r="G20" s="27"/>
    </row>
    <row r="21" spans="1:7" ht="20.25" thickTop="1" thickBot="1" x14ac:dyDescent="0.3">
      <c r="A21" s="6" t="s">
        <v>185</v>
      </c>
      <c r="B21" s="6"/>
      <c r="C21" s="6" t="s">
        <v>190</v>
      </c>
      <c r="D21" s="11"/>
      <c r="E21" s="14"/>
      <c r="F21" s="13"/>
      <c r="G21" s="27"/>
    </row>
    <row r="22" spans="1:7" ht="20.25" thickTop="1" thickBot="1" x14ac:dyDescent="0.3">
      <c r="A22" s="6" t="s">
        <v>186</v>
      </c>
      <c r="B22" s="6"/>
      <c r="C22" s="6" t="s">
        <v>190</v>
      </c>
      <c r="D22" s="11"/>
      <c r="E22" s="14"/>
      <c r="F22" s="13"/>
      <c r="G22" s="27"/>
    </row>
    <row r="23" spans="1:7" ht="20.25" thickTop="1" thickBot="1" x14ac:dyDescent="0.3">
      <c r="A23" s="6" t="s">
        <v>187</v>
      </c>
      <c r="B23" s="6"/>
      <c r="C23" s="6" t="s">
        <v>190</v>
      </c>
      <c r="D23" s="11"/>
      <c r="E23" s="14"/>
      <c r="F23" s="13"/>
      <c r="G23" s="27"/>
    </row>
    <row r="24" spans="1:7" ht="24.75" thickTop="1" thickBot="1" x14ac:dyDescent="0.3">
      <c r="A24" s="46" t="s">
        <v>181</v>
      </c>
      <c r="B24" s="47"/>
      <c r="C24" s="47"/>
      <c r="D24" s="47"/>
      <c r="E24" s="47"/>
      <c r="F24" s="48"/>
    </row>
    <row r="25" spans="1:7" ht="20.25" thickTop="1" thickBot="1" x14ac:dyDescent="0.3">
      <c r="A25" s="6" t="s">
        <v>182</v>
      </c>
      <c r="B25" s="6"/>
      <c r="C25" s="6"/>
      <c r="D25" s="11">
        <v>1380</v>
      </c>
      <c r="E25" s="28">
        <v>0</v>
      </c>
      <c r="F25" s="12">
        <f>D25*E25</f>
        <v>0</v>
      </c>
    </row>
    <row r="26" spans="1:7" ht="24.75" thickTop="1" thickBot="1" x14ac:dyDescent="0.3">
      <c r="A26" s="46" t="s">
        <v>44</v>
      </c>
      <c r="B26" s="47"/>
      <c r="C26" s="47"/>
      <c r="D26" s="47"/>
      <c r="E26" s="47"/>
      <c r="F26" s="48"/>
    </row>
    <row r="27" spans="1:7" ht="22.5" thickTop="1" thickBot="1" x14ac:dyDescent="0.3">
      <c r="A27" s="49" t="s">
        <v>227</v>
      </c>
      <c r="B27" s="50"/>
      <c r="C27" s="50"/>
      <c r="D27" s="50"/>
      <c r="E27" s="50"/>
      <c r="F27" s="50"/>
    </row>
    <row r="28" spans="1:7" ht="20.25" thickTop="1" thickBot="1" x14ac:dyDescent="0.3">
      <c r="A28" s="6" t="s">
        <v>77</v>
      </c>
      <c r="B28" s="6"/>
      <c r="C28" s="6" t="s">
        <v>189</v>
      </c>
      <c r="D28" s="11">
        <v>6800</v>
      </c>
      <c r="E28" s="14">
        <v>0</v>
      </c>
      <c r="F28" s="12">
        <f>ROUNDUP(E28*D28,0)</f>
        <v>0</v>
      </c>
    </row>
    <row r="29" spans="1:7" ht="20.25" thickTop="1" thickBot="1" x14ac:dyDescent="0.3">
      <c r="A29" s="6" t="s">
        <v>228</v>
      </c>
      <c r="B29" s="6"/>
      <c r="C29" s="6" t="s">
        <v>189</v>
      </c>
      <c r="D29" s="11">
        <v>6000</v>
      </c>
      <c r="E29" s="14">
        <v>0</v>
      </c>
      <c r="F29" s="12">
        <f t="shared" ref="F29:F131" si="1">ROUNDUP(E29*D29,0)</f>
        <v>0</v>
      </c>
    </row>
    <row r="30" spans="1:7" ht="20.25" thickTop="1" thickBot="1" x14ac:dyDescent="0.3">
      <c r="A30" s="6" t="s">
        <v>108</v>
      </c>
      <c r="B30" s="6"/>
      <c r="C30" s="6" t="s">
        <v>189</v>
      </c>
      <c r="D30" s="11">
        <v>9700</v>
      </c>
      <c r="E30" s="14">
        <v>0</v>
      </c>
      <c r="F30" s="12">
        <f t="shared" si="1"/>
        <v>0</v>
      </c>
    </row>
    <row r="31" spans="1:7" ht="20.25" thickTop="1" thickBot="1" x14ac:dyDescent="0.3">
      <c r="A31" s="6" t="s">
        <v>229</v>
      </c>
      <c r="B31" s="6"/>
      <c r="C31" s="6" t="s">
        <v>191</v>
      </c>
      <c r="D31" s="11">
        <v>13901</v>
      </c>
      <c r="E31" s="14"/>
      <c r="F31" s="12">
        <f t="shared" si="1"/>
        <v>0</v>
      </c>
    </row>
    <row r="32" spans="1:7" ht="20.25" thickTop="1" thickBot="1" x14ac:dyDescent="0.3">
      <c r="A32" s="6" t="s">
        <v>230</v>
      </c>
      <c r="B32" s="6"/>
      <c r="C32" s="6" t="s">
        <v>191</v>
      </c>
      <c r="D32" s="11">
        <v>9800</v>
      </c>
      <c r="E32" s="14">
        <v>0</v>
      </c>
      <c r="F32" s="12">
        <f t="shared" si="1"/>
        <v>0</v>
      </c>
    </row>
    <row r="33" spans="1:6" ht="20.25" thickTop="1" thickBot="1" x14ac:dyDescent="0.3">
      <c r="A33" s="6" t="s">
        <v>54</v>
      </c>
      <c r="B33" s="6"/>
      <c r="C33" s="6" t="s">
        <v>192</v>
      </c>
      <c r="D33" s="11">
        <v>10645</v>
      </c>
      <c r="E33" s="14"/>
      <c r="F33" s="12">
        <f t="shared" si="1"/>
        <v>0</v>
      </c>
    </row>
    <row r="34" spans="1:6" ht="20.25" thickTop="1" thickBot="1" x14ac:dyDescent="0.3">
      <c r="A34" s="6" t="s">
        <v>55</v>
      </c>
      <c r="B34" s="6"/>
      <c r="C34" s="6" t="s">
        <v>192</v>
      </c>
      <c r="D34" s="11">
        <v>13810</v>
      </c>
      <c r="E34" s="14"/>
      <c r="F34" s="12">
        <f t="shared" si="1"/>
        <v>0</v>
      </c>
    </row>
    <row r="35" spans="1:6" ht="20.25" thickTop="1" thickBot="1" x14ac:dyDescent="0.3">
      <c r="A35" s="6" t="s">
        <v>56</v>
      </c>
      <c r="B35" s="6"/>
      <c r="C35" s="6" t="s">
        <v>191</v>
      </c>
      <c r="D35" s="11">
        <v>24816</v>
      </c>
      <c r="E35" s="14"/>
      <c r="F35" s="12">
        <f t="shared" si="1"/>
        <v>0</v>
      </c>
    </row>
    <row r="36" spans="1:6" ht="20.25" thickTop="1" thickBot="1" x14ac:dyDescent="0.3">
      <c r="A36" s="6" t="s">
        <v>57</v>
      </c>
      <c r="B36" s="6"/>
      <c r="C36" s="6" t="s">
        <v>191</v>
      </c>
      <c r="D36" s="11">
        <v>11999</v>
      </c>
      <c r="E36" s="14"/>
      <c r="F36" s="12">
        <f t="shared" si="1"/>
        <v>0</v>
      </c>
    </row>
    <row r="37" spans="1:6" ht="20.25" thickTop="1" thickBot="1" x14ac:dyDescent="0.3">
      <c r="A37" s="6" t="s">
        <v>59</v>
      </c>
      <c r="B37" s="6"/>
      <c r="C37" s="6" t="s">
        <v>189</v>
      </c>
      <c r="D37" s="11">
        <v>12450</v>
      </c>
      <c r="E37" s="14">
        <v>0</v>
      </c>
      <c r="F37" s="12">
        <f t="shared" si="1"/>
        <v>0</v>
      </c>
    </row>
    <row r="38" spans="1:6" ht="20.25" thickTop="1" thickBot="1" x14ac:dyDescent="0.3">
      <c r="A38" s="6" t="s">
        <v>58</v>
      </c>
      <c r="B38" s="6"/>
      <c r="C38" s="6" t="s">
        <v>189</v>
      </c>
      <c r="D38" s="11">
        <v>17160</v>
      </c>
      <c r="E38" s="14"/>
      <c r="F38" s="12">
        <f t="shared" si="1"/>
        <v>0</v>
      </c>
    </row>
    <row r="39" spans="1:6" ht="20.25" thickTop="1" thickBot="1" x14ac:dyDescent="0.3">
      <c r="A39" s="6" t="s">
        <v>60</v>
      </c>
      <c r="B39" s="6"/>
      <c r="C39" s="6" t="s">
        <v>189</v>
      </c>
      <c r="D39" s="11">
        <v>10560</v>
      </c>
      <c r="E39" s="14"/>
      <c r="F39" s="12">
        <f t="shared" si="1"/>
        <v>0</v>
      </c>
    </row>
    <row r="40" spans="1:6" ht="20.25" thickTop="1" thickBot="1" x14ac:dyDescent="0.3">
      <c r="A40" s="6" t="s">
        <v>61</v>
      </c>
      <c r="B40" s="6"/>
      <c r="C40" s="6" t="s">
        <v>191</v>
      </c>
      <c r="D40" s="11">
        <v>26406</v>
      </c>
      <c r="E40" s="14"/>
      <c r="F40" s="12">
        <f t="shared" si="1"/>
        <v>0</v>
      </c>
    </row>
    <row r="41" spans="1:6" ht="22.5" thickTop="1" thickBot="1" x14ac:dyDescent="0.3">
      <c r="A41" s="49" t="s">
        <v>133</v>
      </c>
      <c r="B41" s="50"/>
      <c r="C41" s="50"/>
      <c r="D41" s="50"/>
      <c r="E41" s="50"/>
      <c r="F41" s="50"/>
    </row>
    <row r="42" spans="1:6" ht="20.25" thickTop="1" thickBot="1" x14ac:dyDescent="0.3">
      <c r="A42" s="6" t="s">
        <v>134</v>
      </c>
      <c r="B42" s="6"/>
      <c r="C42" s="6" t="s">
        <v>189</v>
      </c>
      <c r="D42" s="11">
        <v>45</v>
      </c>
      <c r="E42" s="14">
        <v>0</v>
      </c>
      <c r="F42" s="12">
        <f t="shared" ref="F42:F50" si="2">ROUNDUP(E42*D42,0)</f>
        <v>0</v>
      </c>
    </row>
    <row r="43" spans="1:6" ht="20.25" thickTop="1" thickBot="1" x14ac:dyDescent="0.3">
      <c r="A43" s="6" t="s">
        <v>135</v>
      </c>
      <c r="B43" s="6"/>
      <c r="C43" s="6" t="s">
        <v>192</v>
      </c>
      <c r="D43" s="11">
        <v>113</v>
      </c>
      <c r="E43" s="14"/>
      <c r="F43" s="12">
        <f t="shared" si="2"/>
        <v>0</v>
      </c>
    </row>
    <row r="44" spans="1:6" ht="20.25" thickTop="1" thickBot="1" x14ac:dyDescent="0.3">
      <c r="A44" s="6" t="s">
        <v>136</v>
      </c>
      <c r="B44" s="6"/>
      <c r="C44" s="6" t="s">
        <v>192</v>
      </c>
      <c r="D44" s="11">
        <v>113</v>
      </c>
      <c r="E44" s="14"/>
      <c r="F44" s="12">
        <f t="shared" si="2"/>
        <v>0</v>
      </c>
    </row>
    <row r="45" spans="1:6" ht="20.25" thickTop="1" thickBot="1" x14ac:dyDescent="0.3">
      <c r="A45" s="6" t="s">
        <v>164</v>
      </c>
      <c r="B45" s="6"/>
      <c r="C45" s="6" t="s">
        <v>191</v>
      </c>
      <c r="D45" s="11">
        <v>74.400000000000006</v>
      </c>
      <c r="E45" s="14">
        <v>0</v>
      </c>
      <c r="F45" s="12">
        <f t="shared" si="2"/>
        <v>0</v>
      </c>
    </row>
    <row r="46" spans="1:6" ht="20.25" thickTop="1" thickBot="1" x14ac:dyDescent="0.3">
      <c r="A46" s="6" t="s">
        <v>165</v>
      </c>
      <c r="B46" s="6"/>
      <c r="C46" s="6" t="s">
        <v>189</v>
      </c>
      <c r="D46" s="11">
        <v>85</v>
      </c>
      <c r="E46" s="14">
        <v>0</v>
      </c>
      <c r="F46" s="12">
        <f t="shared" si="2"/>
        <v>0</v>
      </c>
    </row>
    <row r="47" spans="1:6" ht="20.25" thickTop="1" thickBot="1" x14ac:dyDescent="0.3">
      <c r="A47" s="6" t="s">
        <v>166</v>
      </c>
      <c r="B47" s="6"/>
      <c r="C47" s="6" t="s">
        <v>189</v>
      </c>
      <c r="D47" s="11">
        <v>95.04</v>
      </c>
      <c r="E47" s="14"/>
      <c r="F47" s="12">
        <f t="shared" si="2"/>
        <v>0</v>
      </c>
    </row>
    <row r="48" spans="1:6" ht="20.25" thickTop="1" thickBot="1" x14ac:dyDescent="0.3">
      <c r="A48" s="6" t="s">
        <v>167</v>
      </c>
      <c r="B48" s="6"/>
      <c r="C48" s="6" t="s">
        <v>189</v>
      </c>
      <c r="D48" s="11">
        <v>87.62</v>
      </c>
      <c r="E48" s="14"/>
      <c r="F48" s="12">
        <f t="shared" si="2"/>
        <v>0</v>
      </c>
    </row>
    <row r="49" spans="1:8" ht="20.25" thickTop="1" thickBot="1" x14ac:dyDescent="0.3">
      <c r="A49" s="6" t="s">
        <v>168</v>
      </c>
      <c r="B49" s="6"/>
      <c r="C49" s="6" t="s">
        <v>191</v>
      </c>
      <c r="D49" s="11">
        <v>112.36</v>
      </c>
      <c r="E49" s="14"/>
      <c r="F49" s="12">
        <f t="shared" si="2"/>
        <v>0</v>
      </c>
    </row>
    <row r="50" spans="1:8" ht="20.25" thickTop="1" thickBot="1" x14ac:dyDescent="0.3">
      <c r="A50" s="6" t="s">
        <v>169</v>
      </c>
      <c r="B50" s="6"/>
      <c r="C50" s="6" t="s">
        <v>191</v>
      </c>
      <c r="D50" s="11">
        <v>144.76</v>
      </c>
      <c r="E50" s="14"/>
      <c r="F50" s="12">
        <f t="shared" si="2"/>
        <v>0</v>
      </c>
    </row>
    <row r="51" spans="1:8" s="31" customFormat="1" ht="22.5" thickTop="1" thickBot="1" x14ac:dyDescent="0.4">
      <c r="A51" s="51" t="s">
        <v>231</v>
      </c>
      <c r="B51" s="52"/>
      <c r="C51" s="52"/>
      <c r="D51" s="52"/>
      <c r="E51" s="52"/>
      <c r="F51" s="52"/>
    </row>
    <row r="52" spans="1:8" ht="20.25" thickTop="1" thickBot="1" x14ac:dyDescent="0.3">
      <c r="A52" s="6" t="s">
        <v>193</v>
      </c>
      <c r="B52" s="6"/>
      <c r="C52" s="6" t="s">
        <v>197</v>
      </c>
      <c r="D52" s="11">
        <v>5600</v>
      </c>
      <c r="E52" s="14"/>
      <c r="F52" s="12">
        <f t="shared" si="1"/>
        <v>0</v>
      </c>
    </row>
    <row r="53" spans="1:8" ht="20.25" thickTop="1" thickBot="1" x14ac:dyDescent="0.3">
      <c r="A53" s="6" t="s">
        <v>194</v>
      </c>
      <c r="B53" s="6"/>
      <c r="C53" s="6" t="s">
        <v>197</v>
      </c>
      <c r="D53" s="11">
        <v>6800</v>
      </c>
      <c r="E53" s="14"/>
      <c r="F53" s="12">
        <f t="shared" si="1"/>
        <v>0</v>
      </c>
    </row>
    <row r="54" spans="1:8" ht="20.25" thickTop="1" thickBot="1" x14ac:dyDescent="0.3">
      <c r="A54" s="6" t="s">
        <v>195</v>
      </c>
      <c r="B54" s="6"/>
      <c r="C54" s="6" t="s">
        <v>197</v>
      </c>
      <c r="D54" s="11">
        <v>8030</v>
      </c>
      <c r="E54" s="14"/>
      <c r="F54" s="12">
        <f t="shared" si="1"/>
        <v>0</v>
      </c>
    </row>
    <row r="55" spans="1:8" ht="20.25" thickTop="1" thickBot="1" x14ac:dyDescent="0.3">
      <c r="A55" s="6" t="s">
        <v>196</v>
      </c>
      <c r="B55" s="6"/>
      <c r="C55" s="6" t="s">
        <v>197</v>
      </c>
      <c r="D55" s="11">
        <v>11330</v>
      </c>
      <c r="E55" s="14"/>
      <c r="F55" s="12">
        <f t="shared" si="1"/>
        <v>0</v>
      </c>
      <c r="H55" t="s">
        <v>4</v>
      </c>
    </row>
    <row r="56" spans="1:8" ht="20.25" thickTop="1" thickBot="1" x14ac:dyDescent="0.3">
      <c r="A56" s="53"/>
      <c r="B56" s="54"/>
      <c r="C56" s="54"/>
      <c r="D56" s="54"/>
      <c r="E56" s="54"/>
      <c r="F56" s="54"/>
    </row>
    <row r="57" spans="1:8" ht="20.25" thickTop="1" thickBot="1" x14ac:dyDescent="0.3">
      <c r="A57" s="6" t="s">
        <v>203</v>
      </c>
      <c r="B57" s="6"/>
      <c r="C57" s="6" t="s">
        <v>197</v>
      </c>
      <c r="D57" s="11">
        <v>3900</v>
      </c>
      <c r="E57" s="14"/>
      <c r="F57" s="12">
        <f t="shared" si="1"/>
        <v>0</v>
      </c>
    </row>
    <row r="58" spans="1:8" ht="20.25" thickTop="1" thickBot="1" x14ac:dyDescent="0.3">
      <c r="A58" s="6" t="s">
        <v>204</v>
      </c>
      <c r="B58" s="6"/>
      <c r="C58" s="6" t="s">
        <v>197</v>
      </c>
      <c r="D58" s="11">
        <v>4500</v>
      </c>
      <c r="E58" s="14"/>
      <c r="F58" s="12">
        <f t="shared" si="1"/>
        <v>0</v>
      </c>
    </row>
    <row r="59" spans="1:8" ht="20.25" thickTop="1" thickBot="1" x14ac:dyDescent="0.3">
      <c r="A59" s="6" t="s">
        <v>205</v>
      </c>
      <c r="B59" s="6"/>
      <c r="C59" s="6" t="s">
        <v>197</v>
      </c>
      <c r="D59" s="11">
        <v>5400</v>
      </c>
      <c r="E59" s="14"/>
      <c r="F59" s="12">
        <f t="shared" si="1"/>
        <v>0</v>
      </c>
    </row>
    <row r="60" spans="1:8" ht="20.25" thickTop="1" thickBot="1" x14ac:dyDescent="0.3">
      <c r="A60" s="6" t="s">
        <v>206</v>
      </c>
      <c r="B60" s="6"/>
      <c r="C60" s="6" t="s">
        <v>197</v>
      </c>
      <c r="D60" s="11">
        <v>6200</v>
      </c>
      <c r="E60" s="14"/>
      <c r="F60" s="12">
        <f t="shared" si="1"/>
        <v>0</v>
      </c>
    </row>
    <row r="61" spans="1:8" ht="20.25" thickTop="1" thickBot="1" x14ac:dyDescent="0.3">
      <c r="A61" s="6" t="s">
        <v>207</v>
      </c>
      <c r="B61" s="6"/>
      <c r="C61" s="6" t="s">
        <v>197</v>
      </c>
      <c r="D61" s="11">
        <v>6650</v>
      </c>
      <c r="E61" s="14"/>
      <c r="F61" s="12">
        <f t="shared" si="1"/>
        <v>0</v>
      </c>
    </row>
    <row r="62" spans="1:8" ht="20.25" thickTop="1" thickBot="1" x14ac:dyDescent="0.3">
      <c r="A62" s="53"/>
      <c r="B62" s="54"/>
      <c r="C62" s="54"/>
      <c r="D62" s="54"/>
      <c r="E62" s="54"/>
      <c r="F62" s="54"/>
    </row>
    <row r="63" spans="1:8" ht="20.25" thickTop="1" thickBot="1" x14ac:dyDescent="0.3">
      <c r="A63" s="6" t="s">
        <v>198</v>
      </c>
      <c r="B63" s="6"/>
      <c r="C63" s="6" t="s">
        <v>197</v>
      </c>
      <c r="D63" s="11">
        <v>4650</v>
      </c>
      <c r="E63" s="14"/>
      <c r="F63" s="12">
        <f t="shared" si="1"/>
        <v>0</v>
      </c>
    </row>
    <row r="64" spans="1:8" ht="20.25" thickTop="1" thickBot="1" x14ac:dyDescent="0.3">
      <c r="A64" s="6" t="s">
        <v>199</v>
      </c>
      <c r="B64" s="6"/>
      <c r="C64" s="6" t="s">
        <v>197</v>
      </c>
      <c r="D64" s="11">
        <v>5250</v>
      </c>
      <c r="E64" s="14"/>
      <c r="F64" s="12">
        <f t="shared" si="1"/>
        <v>0</v>
      </c>
    </row>
    <row r="65" spans="1:6" ht="20.25" thickTop="1" thickBot="1" x14ac:dyDescent="0.3">
      <c r="A65" s="6" t="s">
        <v>200</v>
      </c>
      <c r="B65" s="6"/>
      <c r="C65" s="6" t="s">
        <v>197</v>
      </c>
      <c r="D65" s="11">
        <v>5900</v>
      </c>
      <c r="E65" s="14"/>
      <c r="F65" s="12">
        <f t="shared" si="1"/>
        <v>0</v>
      </c>
    </row>
    <row r="66" spans="1:6" ht="20.25" thickTop="1" thickBot="1" x14ac:dyDescent="0.3">
      <c r="A66" s="6" t="s">
        <v>201</v>
      </c>
      <c r="B66" s="6"/>
      <c r="C66" s="6" t="s">
        <v>197</v>
      </c>
      <c r="D66" s="11">
        <v>6750</v>
      </c>
      <c r="E66" s="14"/>
      <c r="F66" s="12">
        <f t="shared" si="1"/>
        <v>0</v>
      </c>
    </row>
    <row r="67" spans="1:6" ht="20.25" thickTop="1" thickBot="1" x14ac:dyDescent="0.3">
      <c r="A67" s="6" t="s">
        <v>202</v>
      </c>
      <c r="B67" s="6"/>
      <c r="C67" s="6" t="s">
        <v>197</v>
      </c>
      <c r="D67" s="11">
        <v>7200</v>
      </c>
      <c r="E67" s="14"/>
      <c r="F67" s="12">
        <f t="shared" si="1"/>
        <v>0</v>
      </c>
    </row>
    <row r="68" spans="1:6" ht="20.25" thickTop="1" thickBot="1" x14ac:dyDescent="0.3">
      <c r="A68" s="53"/>
      <c r="B68" s="54"/>
      <c r="C68" s="54"/>
      <c r="D68" s="54"/>
      <c r="E68" s="54"/>
      <c r="F68" s="54"/>
    </row>
    <row r="69" spans="1:6" ht="20.25" thickTop="1" thickBot="1" x14ac:dyDescent="0.3">
      <c r="A69" s="6" t="s">
        <v>208</v>
      </c>
      <c r="B69" s="6"/>
      <c r="C69" s="6" t="s">
        <v>197</v>
      </c>
      <c r="D69" s="11">
        <v>6200</v>
      </c>
      <c r="E69" s="14"/>
      <c r="F69" s="12">
        <f t="shared" si="1"/>
        <v>0</v>
      </c>
    </row>
    <row r="70" spans="1:6" ht="20.25" thickTop="1" thickBot="1" x14ac:dyDescent="0.3">
      <c r="A70" s="6" t="s">
        <v>209</v>
      </c>
      <c r="B70" s="6"/>
      <c r="C70" s="6" t="s">
        <v>197</v>
      </c>
      <c r="D70" s="11">
        <v>6850</v>
      </c>
      <c r="E70" s="14"/>
      <c r="F70" s="12">
        <f t="shared" si="1"/>
        <v>0</v>
      </c>
    </row>
    <row r="71" spans="1:6" ht="20.25" thickTop="1" thickBot="1" x14ac:dyDescent="0.3">
      <c r="A71" s="6" t="s">
        <v>210</v>
      </c>
      <c r="B71" s="6"/>
      <c r="C71" s="6" t="s">
        <v>197</v>
      </c>
      <c r="D71" s="11">
        <v>7500</v>
      </c>
      <c r="E71" s="14"/>
      <c r="F71" s="12">
        <f t="shared" si="1"/>
        <v>0</v>
      </c>
    </row>
    <row r="72" spans="1:6" ht="20.25" thickTop="1" thickBot="1" x14ac:dyDescent="0.3">
      <c r="A72" s="6" t="s">
        <v>211</v>
      </c>
      <c r="B72" s="6"/>
      <c r="C72" s="6" t="s">
        <v>197</v>
      </c>
      <c r="D72" s="11">
        <v>8300</v>
      </c>
      <c r="E72" s="14"/>
      <c r="F72" s="12">
        <f t="shared" si="1"/>
        <v>0</v>
      </c>
    </row>
    <row r="73" spans="1:6" ht="20.25" thickTop="1" thickBot="1" x14ac:dyDescent="0.3">
      <c r="A73" s="6" t="s">
        <v>212</v>
      </c>
      <c r="B73" s="6"/>
      <c r="C73" s="6" t="s">
        <v>197</v>
      </c>
      <c r="D73" s="11">
        <v>8750</v>
      </c>
      <c r="E73" s="14"/>
      <c r="F73" s="12">
        <f t="shared" si="1"/>
        <v>0</v>
      </c>
    </row>
    <row r="74" spans="1:6" ht="20.25" thickTop="1" thickBot="1" x14ac:dyDescent="0.3">
      <c r="A74" s="53"/>
      <c r="B74" s="54"/>
      <c r="C74" s="54"/>
      <c r="D74" s="54"/>
      <c r="E74" s="54"/>
      <c r="F74" s="54"/>
    </row>
    <row r="75" spans="1:6" ht="20.25" thickTop="1" thickBot="1" x14ac:dyDescent="0.3">
      <c r="A75" s="6" t="s">
        <v>213</v>
      </c>
      <c r="B75" s="6"/>
      <c r="C75" s="6" t="s">
        <v>197</v>
      </c>
      <c r="D75" s="11">
        <v>7250</v>
      </c>
      <c r="E75" s="14"/>
      <c r="F75" s="12">
        <f t="shared" si="1"/>
        <v>0</v>
      </c>
    </row>
    <row r="76" spans="1:6" ht="20.25" thickTop="1" thickBot="1" x14ac:dyDescent="0.3">
      <c r="A76" s="6" t="s">
        <v>214</v>
      </c>
      <c r="B76" s="6"/>
      <c r="C76" s="6" t="s">
        <v>197</v>
      </c>
      <c r="D76" s="11">
        <v>7900</v>
      </c>
      <c r="E76" s="14"/>
      <c r="F76" s="12">
        <f t="shared" si="1"/>
        <v>0</v>
      </c>
    </row>
    <row r="77" spans="1:6" ht="20.25" thickTop="1" thickBot="1" x14ac:dyDescent="0.3">
      <c r="A77" s="6" t="s">
        <v>215</v>
      </c>
      <c r="B77" s="6"/>
      <c r="C77" s="6" t="s">
        <v>197</v>
      </c>
      <c r="D77" s="11">
        <v>8550</v>
      </c>
      <c r="E77" s="14"/>
      <c r="F77" s="12">
        <f t="shared" si="1"/>
        <v>0</v>
      </c>
    </row>
    <row r="78" spans="1:6" ht="20.25" thickTop="1" thickBot="1" x14ac:dyDescent="0.3">
      <c r="A78" s="6" t="s">
        <v>216</v>
      </c>
      <c r="B78" s="6"/>
      <c r="C78" s="6" t="s">
        <v>197</v>
      </c>
      <c r="D78" s="11">
        <v>9350</v>
      </c>
      <c r="E78" s="14"/>
      <c r="F78" s="12">
        <f t="shared" si="1"/>
        <v>0</v>
      </c>
    </row>
    <row r="79" spans="1:6" ht="20.25" thickTop="1" thickBot="1" x14ac:dyDescent="0.3">
      <c r="A79" s="6" t="s">
        <v>217</v>
      </c>
      <c r="B79" s="6"/>
      <c r="C79" s="6" t="s">
        <v>197</v>
      </c>
      <c r="D79" s="11">
        <v>9800</v>
      </c>
      <c r="E79" s="14"/>
      <c r="F79" s="12">
        <f t="shared" si="1"/>
        <v>0</v>
      </c>
    </row>
    <row r="80" spans="1:6" ht="20.25" thickTop="1" thickBot="1" x14ac:dyDescent="0.3">
      <c r="A80" s="6"/>
      <c r="B80" s="6"/>
      <c r="C80" s="6"/>
      <c r="D80" s="11"/>
      <c r="E80" s="14"/>
      <c r="F80" s="12"/>
    </row>
    <row r="81" spans="1:6" ht="20.25" thickTop="1" thickBot="1" x14ac:dyDescent="0.3">
      <c r="A81" s="44" t="s">
        <v>270</v>
      </c>
      <c r="B81" s="45"/>
      <c r="C81" s="45"/>
      <c r="D81" s="45"/>
      <c r="E81" s="45"/>
      <c r="F81" s="45"/>
    </row>
    <row r="82" spans="1:6" ht="20.25" customHeight="1" thickTop="1" thickBot="1" x14ac:dyDescent="0.3">
      <c r="A82" s="56" t="s">
        <v>293</v>
      </c>
      <c r="B82" s="57"/>
      <c r="C82" s="57"/>
      <c r="D82" s="57"/>
      <c r="E82" s="57"/>
      <c r="F82" s="57"/>
    </row>
    <row r="83" spans="1:6" ht="27.75" customHeight="1" thickTop="1" thickBot="1" x14ac:dyDescent="0.3">
      <c r="A83" s="6" t="s">
        <v>271</v>
      </c>
      <c r="B83" s="6"/>
      <c r="C83" s="6" t="s">
        <v>270</v>
      </c>
      <c r="D83" s="11">
        <v>4751</v>
      </c>
      <c r="E83" s="14"/>
      <c r="F83" s="12">
        <f t="shared" si="1"/>
        <v>0</v>
      </c>
    </row>
    <row r="84" spans="1:6" ht="41.25" customHeight="1" thickTop="1" thickBot="1" x14ac:dyDescent="0.3">
      <c r="A84" s="6" t="s">
        <v>272</v>
      </c>
      <c r="B84" s="6"/>
      <c r="C84" s="6" t="s">
        <v>270</v>
      </c>
      <c r="D84" s="11">
        <v>5250</v>
      </c>
      <c r="E84" s="14"/>
      <c r="F84" s="12">
        <f t="shared" si="1"/>
        <v>0</v>
      </c>
    </row>
    <row r="85" spans="1:6" ht="20.25" customHeight="1" thickTop="1" thickBot="1" x14ac:dyDescent="0.3">
      <c r="A85" s="6"/>
      <c r="B85" s="6"/>
      <c r="C85" s="6" t="s">
        <v>270</v>
      </c>
      <c r="D85" s="11"/>
      <c r="E85" s="14"/>
      <c r="F85" s="12">
        <f t="shared" si="1"/>
        <v>0</v>
      </c>
    </row>
    <row r="86" spans="1:6" ht="20.25" customHeight="1" thickTop="1" thickBot="1" x14ac:dyDescent="0.3">
      <c r="A86" s="6" t="s">
        <v>274</v>
      </c>
      <c r="B86" s="6"/>
      <c r="C86" s="6" t="s">
        <v>270</v>
      </c>
      <c r="D86" s="11">
        <v>5750</v>
      </c>
      <c r="E86" s="14"/>
      <c r="F86" s="12">
        <f t="shared" si="1"/>
        <v>0</v>
      </c>
    </row>
    <row r="87" spans="1:6" ht="20.25" customHeight="1" thickTop="1" thickBot="1" x14ac:dyDescent="0.3">
      <c r="A87" s="6" t="s">
        <v>273</v>
      </c>
      <c r="B87" s="6"/>
      <c r="C87" s="6" t="s">
        <v>270</v>
      </c>
      <c r="D87" s="11">
        <v>6250</v>
      </c>
      <c r="E87" s="14"/>
      <c r="F87" s="12">
        <f t="shared" si="1"/>
        <v>0</v>
      </c>
    </row>
    <row r="88" spans="1:6" ht="20.25" customHeight="1" thickTop="1" thickBot="1" x14ac:dyDescent="0.3">
      <c r="A88" s="6"/>
      <c r="B88" s="6"/>
      <c r="C88" s="6" t="s">
        <v>270</v>
      </c>
      <c r="D88" s="11"/>
      <c r="E88" s="14"/>
      <c r="F88" s="12">
        <f t="shared" si="1"/>
        <v>0</v>
      </c>
    </row>
    <row r="89" spans="1:6" ht="20.25" customHeight="1" thickTop="1" thickBot="1" x14ac:dyDescent="0.3">
      <c r="A89" s="6" t="s">
        <v>275</v>
      </c>
      <c r="B89" s="6"/>
      <c r="C89" s="6" t="s">
        <v>270</v>
      </c>
      <c r="D89" s="11">
        <v>6250</v>
      </c>
      <c r="E89" s="14"/>
      <c r="F89" s="12">
        <f t="shared" si="1"/>
        <v>0</v>
      </c>
    </row>
    <row r="90" spans="1:6" ht="20.25" customHeight="1" thickTop="1" thickBot="1" x14ac:dyDescent="0.3">
      <c r="A90" s="6" t="s">
        <v>276</v>
      </c>
      <c r="B90" s="6"/>
      <c r="C90" s="6" t="s">
        <v>270</v>
      </c>
      <c r="D90" s="11">
        <v>6750</v>
      </c>
      <c r="E90" s="14"/>
      <c r="F90" s="12">
        <f t="shared" si="1"/>
        <v>0</v>
      </c>
    </row>
    <row r="91" spans="1:6" ht="20.25" customHeight="1" thickTop="1" thickBot="1" x14ac:dyDescent="0.3">
      <c r="A91" s="6"/>
      <c r="B91" s="6"/>
      <c r="C91" s="6" t="s">
        <v>270</v>
      </c>
      <c r="D91" s="11"/>
      <c r="E91" s="14"/>
      <c r="F91" s="12">
        <f t="shared" si="1"/>
        <v>0</v>
      </c>
    </row>
    <row r="92" spans="1:6" ht="20.25" customHeight="1" thickTop="1" thickBot="1" x14ac:dyDescent="0.3">
      <c r="A92" s="6" t="s">
        <v>277</v>
      </c>
      <c r="B92" s="6"/>
      <c r="C92" s="6" t="s">
        <v>270</v>
      </c>
      <c r="D92" s="11">
        <v>5050</v>
      </c>
      <c r="E92" s="14"/>
      <c r="F92" s="12">
        <f t="shared" si="1"/>
        <v>0</v>
      </c>
    </row>
    <row r="93" spans="1:6" ht="20.25" customHeight="1" thickTop="1" thickBot="1" x14ac:dyDescent="0.3">
      <c r="A93" s="6" t="s">
        <v>278</v>
      </c>
      <c r="B93" s="6"/>
      <c r="C93" s="6" t="s">
        <v>270</v>
      </c>
      <c r="D93" s="11">
        <v>5550</v>
      </c>
      <c r="E93" s="14"/>
      <c r="F93" s="12">
        <f t="shared" si="1"/>
        <v>0</v>
      </c>
    </row>
    <row r="94" spans="1:6" ht="20.25" customHeight="1" thickTop="1" thickBot="1" x14ac:dyDescent="0.3">
      <c r="A94" s="6"/>
      <c r="B94" s="6"/>
      <c r="C94" s="6" t="s">
        <v>270</v>
      </c>
      <c r="D94" s="11"/>
      <c r="E94" s="14"/>
      <c r="F94" s="12">
        <f t="shared" si="1"/>
        <v>0</v>
      </c>
    </row>
    <row r="95" spans="1:6" ht="20.25" customHeight="1" thickTop="1" thickBot="1" x14ac:dyDescent="0.3">
      <c r="A95" s="6" t="s">
        <v>279</v>
      </c>
      <c r="B95" s="6"/>
      <c r="C95" s="6" t="s">
        <v>270</v>
      </c>
      <c r="D95" s="11">
        <v>6050</v>
      </c>
      <c r="E95" s="14"/>
      <c r="F95" s="12">
        <f t="shared" si="1"/>
        <v>0</v>
      </c>
    </row>
    <row r="96" spans="1:6" ht="20.25" customHeight="1" thickTop="1" thickBot="1" x14ac:dyDescent="0.3">
      <c r="A96" s="6" t="s">
        <v>280</v>
      </c>
      <c r="B96" s="6"/>
      <c r="C96" s="6" t="s">
        <v>270</v>
      </c>
      <c r="D96" s="11">
        <v>6550</v>
      </c>
      <c r="E96" s="14"/>
      <c r="F96" s="12">
        <f t="shared" si="1"/>
        <v>0</v>
      </c>
    </row>
    <row r="97" spans="1:6" ht="20.25" customHeight="1" thickTop="1" thickBot="1" x14ac:dyDescent="0.3">
      <c r="A97" s="6"/>
      <c r="B97" s="6"/>
      <c r="C97" s="6" t="s">
        <v>270</v>
      </c>
      <c r="D97" s="11"/>
      <c r="E97" s="14"/>
      <c r="F97" s="12">
        <f t="shared" si="1"/>
        <v>0</v>
      </c>
    </row>
    <row r="98" spans="1:6" ht="20.25" customHeight="1" thickTop="1" thickBot="1" x14ac:dyDescent="0.3">
      <c r="A98" s="6" t="s">
        <v>281</v>
      </c>
      <c r="B98" s="6"/>
      <c r="C98" s="6" t="s">
        <v>270</v>
      </c>
      <c r="D98" s="11">
        <v>6550</v>
      </c>
      <c r="E98" s="14"/>
      <c r="F98" s="12">
        <f t="shared" si="1"/>
        <v>0</v>
      </c>
    </row>
    <row r="99" spans="1:6" ht="20.25" customHeight="1" thickTop="1" thickBot="1" x14ac:dyDescent="0.3">
      <c r="A99" s="6" t="s">
        <v>282</v>
      </c>
      <c r="B99" s="6"/>
      <c r="C99" s="6" t="s">
        <v>270</v>
      </c>
      <c r="D99" s="11">
        <v>7050</v>
      </c>
      <c r="E99" s="14"/>
      <c r="F99" s="12">
        <f t="shared" si="1"/>
        <v>0</v>
      </c>
    </row>
    <row r="100" spans="1:6" ht="20.25" customHeight="1" thickTop="1" thickBot="1" x14ac:dyDescent="0.3">
      <c r="A100" s="6"/>
      <c r="B100" s="6"/>
      <c r="C100" s="6" t="s">
        <v>270</v>
      </c>
      <c r="D100" s="11"/>
      <c r="E100" s="14"/>
      <c r="F100" s="12">
        <f t="shared" si="1"/>
        <v>0</v>
      </c>
    </row>
    <row r="101" spans="1:6" ht="48.75" customHeight="1" thickTop="1" thickBot="1" x14ac:dyDescent="0.3">
      <c r="A101" s="6" t="s">
        <v>283</v>
      </c>
      <c r="B101" s="6"/>
      <c r="C101" s="6" t="s">
        <v>270</v>
      </c>
      <c r="D101" s="11">
        <v>7050</v>
      </c>
      <c r="E101" s="14"/>
      <c r="F101" s="12">
        <f t="shared" si="1"/>
        <v>0</v>
      </c>
    </row>
    <row r="102" spans="1:6" ht="41.25" customHeight="1" thickTop="1" thickBot="1" x14ac:dyDescent="0.3">
      <c r="A102" s="6" t="s">
        <v>284</v>
      </c>
      <c r="B102" s="6"/>
      <c r="C102" s="6" t="s">
        <v>270</v>
      </c>
      <c r="D102" s="11">
        <v>7550</v>
      </c>
      <c r="E102" s="14"/>
      <c r="F102" s="12">
        <f t="shared" si="1"/>
        <v>0</v>
      </c>
    </row>
    <row r="103" spans="1:6" ht="20.25" customHeight="1" thickTop="1" thickBot="1" x14ac:dyDescent="0.3">
      <c r="A103" s="6"/>
      <c r="B103" s="6"/>
      <c r="C103" s="6" t="s">
        <v>270</v>
      </c>
      <c r="D103" s="11"/>
      <c r="E103" s="14"/>
      <c r="F103" s="12">
        <f t="shared" si="1"/>
        <v>0</v>
      </c>
    </row>
    <row r="104" spans="1:6" ht="20.25" customHeight="1" thickTop="1" thickBot="1" x14ac:dyDescent="0.3">
      <c r="A104" s="6" t="s">
        <v>285</v>
      </c>
      <c r="B104" s="6"/>
      <c r="C104" s="6" t="s">
        <v>270</v>
      </c>
      <c r="D104" s="11">
        <v>5450</v>
      </c>
      <c r="E104" s="14"/>
      <c r="F104" s="12">
        <f t="shared" si="1"/>
        <v>0</v>
      </c>
    </row>
    <row r="105" spans="1:6" ht="42" customHeight="1" thickTop="1" thickBot="1" x14ac:dyDescent="0.3">
      <c r="A105" s="6" t="s">
        <v>286</v>
      </c>
      <c r="B105" s="6"/>
      <c r="C105" s="6" t="s">
        <v>270</v>
      </c>
      <c r="D105" s="11">
        <v>5950</v>
      </c>
      <c r="E105" s="14"/>
      <c r="F105" s="12">
        <f t="shared" si="1"/>
        <v>0</v>
      </c>
    </row>
    <row r="106" spans="1:6" ht="20.25" customHeight="1" thickTop="1" thickBot="1" x14ac:dyDescent="0.3">
      <c r="A106" s="6"/>
      <c r="B106" s="6"/>
      <c r="C106" s="6" t="s">
        <v>270</v>
      </c>
      <c r="D106" s="11"/>
      <c r="E106" s="14"/>
      <c r="F106" s="12">
        <f t="shared" si="1"/>
        <v>0</v>
      </c>
    </row>
    <row r="107" spans="1:6" ht="20.25" customHeight="1" thickTop="1" thickBot="1" x14ac:dyDescent="0.3">
      <c r="A107" s="6" t="s">
        <v>287</v>
      </c>
      <c r="B107" s="6"/>
      <c r="C107" s="6" t="s">
        <v>270</v>
      </c>
      <c r="D107" s="11">
        <v>6950</v>
      </c>
      <c r="E107" s="14"/>
      <c r="F107" s="12">
        <f t="shared" si="1"/>
        <v>0</v>
      </c>
    </row>
    <row r="108" spans="1:6" ht="20.25" customHeight="1" thickTop="1" thickBot="1" x14ac:dyDescent="0.3">
      <c r="A108" s="6" t="s">
        <v>288</v>
      </c>
      <c r="B108" s="6"/>
      <c r="C108" s="6" t="s">
        <v>270</v>
      </c>
      <c r="D108" s="11">
        <v>7450</v>
      </c>
      <c r="E108" s="14"/>
      <c r="F108" s="12">
        <f t="shared" si="1"/>
        <v>0</v>
      </c>
    </row>
    <row r="109" spans="1:6" ht="20.25" customHeight="1" thickTop="1" thickBot="1" x14ac:dyDescent="0.3">
      <c r="A109" s="56" t="s">
        <v>294</v>
      </c>
      <c r="B109" s="57"/>
      <c r="C109" s="57"/>
      <c r="D109" s="57"/>
      <c r="E109" s="57"/>
      <c r="F109" s="57"/>
    </row>
    <row r="110" spans="1:6" ht="20.25" customHeight="1" thickTop="1" thickBot="1" x14ac:dyDescent="0.3">
      <c r="A110" s="6" t="s">
        <v>289</v>
      </c>
      <c r="B110" s="6"/>
      <c r="C110" s="6" t="s">
        <v>270</v>
      </c>
      <c r="D110" s="11">
        <v>6700</v>
      </c>
      <c r="E110" s="14"/>
      <c r="F110" s="13">
        <f>D110*E110</f>
        <v>0</v>
      </c>
    </row>
    <row r="111" spans="1:6" ht="20.25" customHeight="1" thickTop="1" thickBot="1" x14ac:dyDescent="0.3">
      <c r="A111" s="6" t="s">
        <v>290</v>
      </c>
      <c r="B111" s="6"/>
      <c r="C111" s="6" t="s">
        <v>270</v>
      </c>
      <c r="D111" s="11">
        <v>6900</v>
      </c>
      <c r="E111" s="14"/>
      <c r="F111" s="13">
        <f>D111*E111</f>
        <v>0</v>
      </c>
    </row>
    <row r="112" spans="1:6" ht="20.25" customHeight="1" thickTop="1" thickBot="1" x14ac:dyDescent="0.3">
      <c r="A112" s="6" t="s">
        <v>291</v>
      </c>
      <c r="B112" s="6"/>
      <c r="C112" s="6" t="s">
        <v>270</v>
      </c>
      <c r="D112" s="11">
        <v>6300</v>
      </c>
      <c r="E112" s="14"/>
      <c r="F112" s="13">
        <f>D112*E112</f>
        <v>0</v>
      </c>
    </row>
    <row r="113" spans="1:6" ht="20.25" customHeight="1" thickTop="1" thickBot="1" x14ac:dyDescent="0.3">
      <c r="A113" s="6" t="s">
        <v>292</v>
      </c>
      <c r="B113" s="6"/>
      <c r="C113" s="6" t="s">
        <v>270</v>
      </c>
      <c r="D113" s="11">
        <v>6500</v>
      </c>
      <c r="E113" s="14"/>
      <c r="F113" s="13">
        <f>D113*E113</f>
        <v>0</v>
      </c>
    </row>
    <row r="114" spans="1:6" ht="20.25" customHeight="1" thickTop="1" thickBot="1" x14ac:dyDescent="0.3">
      <c r="A114" s="56" t="s">
        <v>295</v>
      </c>
      <c r="B114" s="57"/>
      <c r="C114" s="57"/>
      <c r="D114" s="57"/>
      <c r="E114" s="57"/>
      <c r="F114" s="57"/>
    </row>
    <row r="115" spans="1:6" ht="20.25" customHeight="1" thickTop="1" thickBot="1" x14ac:dyDescent="0.3">
      <c r="A115" s="6" t="s">
        <v>296</v>
      </c>
      <c r="B115" s="6"/>
      <c r="C115" s="6" t="s">
        <v>270</v>
      </c>
      <c r="D115" s="11">
        <v>13200</v>
      </c>
      <c r="E115" s="14"/>
      <c r="F115" s="13">
        <f>E115*D115</f>
        <v>0</v>
      </c>
    </row>
    <row r="116" spans="1:6" ht="39" thickTop="1" thickBot="1" x14ac:dyDescent="0.3">
      <c r="A116" s="6" t="s">
        <v>297</v>
      </c>
      <c r="B116" s="6"/>
      <c r="C116" s="6" t="s">
        <v>270</v>
      </c>
      <c r="D116" s="11">
        <v>16000</v>
      </c>
      <c r="E116" s="14"/>
      <c r="F116" s="13">
        <f t="shared" ref="F116:F121" si="3">E116*D116</f>
        <v>0</v>
      </c>
    </row>
    <row r="117" spans="1:6" ht="132.75" thickTop="1" thickBot="1" x14ac:dyDescent="0.3">
      <c r="A117" s="6" t="s">
        <v>298</v>
      </c>
      <c r="B117" s="6"/>
      <c r="C117" s="6" t="s">
        <v>270</v>
      </c>
      <c r="D117" s="11">
        <v>16220</v>
      </c>
      <c r="E117" s="14"/>
      <c r="F117" s="13">
        <f t="shared" si="3"/>
        <v>0</v>
      </c>
    </row>
    <row r="118" spans="1:6" ht="20.25" thickTop="1" thickBot="1" x14ac:dyDescent="0.3">
      <c r="A118" s="6" t="s">
        <v>299</v>
      </c>
      <c r="B118" s="6"/>
      <c r="C118" s="6" t="s">
        <v>270</v>
      </c>
      <c r="D118" s="11">
        <v>16850</v>
      </c>
      <c r="E118" s="14"/>
      <c r="F118" s="13">
        <f t="shared" si="3"/>
        <v>0</v>
      </c>
    </row>
    <row r="119" spans="1:6" ht="57.75" thickTop="1" thickBot="1" x14ac:dyDescent="0.3">
      <c r="A119" s="6" t="s">
        <v>300</v>
      </c>
      <c r="B119" s="6"/>
      <c r="C119" s="6" t="s">
        <v>270</v>
      </c>
      <c r="D119" s="11">
        <v>17160</v>
      </c>
      <c r="E119" s="14"/>
      <c r="F119" s="13">
        <f t="shared" si="3"/>
        <v>0</v>
      </c>
    </row>
    <row r="120" spans="1:6" ht="39" thickTop="1" thickBot="1" x14ac:dyDescent="0.3">
      <c r="A120" s="6" t="s">
        <v>301</v>
      </c>
      <c r="B120" s="6"/>
      <c r="C120" s="6" t="s">
        <v>270</v>
      </c>
      <c r="D120" s="11">
        <v>17520</v>
      </c>
      <c r="E120" s="14"/>
      <c r="F120" s="13">
        <f t="shared" si="3"/>
        <v>0</v>
      </c>
    </row>
    <row r="121" spans="1:6" ht="20.25" thickTop="1" thickBot="1" x14ac:dyDescent="0.3">
      <c r="A121" s="6" t="s">
        <v>302</v>
      </c>
      <c r="B121" s="6"/>
      <c r="C121" s="6" t="s">
        <v>270</v>
      </c>
      <c r="D121" s="11">
        <v>20180</v>
      </c>
      <c r="E121" s="14"/>
      <c r="F121" s="13">
        <f t="shared" si="3"/>
        <v>0</v>
      </c>
    </row>
    <row r="122" spans="1:6" ht="22.5" thickTop="1" thickBot="1" x14ac:dyDescent="0.3">
      <c r="A122" s="49" t="s">
        <v>232</v>
      </c>
      <c r="B122" s="50"/>
      <c r="C122" s="50"/>
      <c r="D122" s="50"/>
      <c r="E122" s="50"/>
      <c r="F122" s="50"/>
    </row>
    <row r="123" spans="1:6" ht="20.25" thickTop="1" thickBot="1" x14ac:dyDescent="0.3">
      <c r="A123" s="6" t="s">
        <v>219</v>
      </c>
      <c r="B123" s="6"/>
      <c r="C123" s="6" t="s">
        <v>218</v>
      </c>
      <c r="D123" s="11">
        <v>10400</v>
      </c>
      <c r="E123" s="14">
        <v>0</v>
      </c>
      <c r="F123" s="12">
        <f t="shared" si="1"/>
        <v>0</v>
      </c>
    </row>
    <row r="124" spans="1:6" ht="20.25" thickTop="1" thickBot="1" x14ac:dyDescent="0.3">
      <c r="A124" s="6" t="s">
        <v>220</v>
      </c>
      <c r="B124" s="6"/>
      <c r="C124" s="6" t="s">
        <v>218</v>
      </c>
      <c r="D124" s="11">
        <v>14400</v>
      </c>
      <c r="E124" s="14"/>
      <c r="F124" s="12">
        <f t="shared" si="1"/>
        <v>0</v>
      </c>
    </row>
    <row r="125" spans="1:6" ht="20.25" thickTop="1" thickBot="1" x14ac:dyDescent="0.3">
      <c r="A125" s="6" t="s">
        <v>221</v>
      </c>
      <c r="B125" s="6"/>
      <c r="C125" s="6" t="s">
        <v>218</v>
      </c>
      <c r="D125" s="11">
        <v>14500</v>
      </c>
      <c r="E125" s="14"/>
      <c r="F125" s="12">
        <f t="shared" si="1"/>
        <v>0</v>
      </c>
    </row>
    <row r="126" spans="1:6" ht="39" thickTop="1" thickBot="1" x14ac:dyDescent="0.3">
      <c r="A126" s="6" t="s">
        <v>225</v>
      </c>
      <c r="B126" s="6"/>
      <c r="C126" s="6" t="s">
        <v>218</v>
      </c>
      <c r="D126" s="11">
        <v>17400</v>
      </c>
      <c r="E126" s="14"/>
      <c r="F126" s="12">
        <f t="shared" si="1"/>
        <v>0</v>
      </c>
    </row>
    <row r="127" spans="1:6" ht="20.25" thickTop="1" thickBot="1" x14ac:dyDescent="0.3">
      <c r="A127" s="6" t="s">
        <v>222</v>
      </c>
      <c r="B127" s="6"/>
      <c r="C127" s="6" t="s">
        <v>218</v>
      </c>
      <c r="D127" s="11">
        <v>0</v>
      </c>
      <c r="E127" s="14"/>
      <c r="F127" s="12">
        <f t="shared" si="1"/>
        <v>0</v>
      </c>
    </row>
    <row r="128" spans="1:6" ht="20.25" thickTop="1" thickBot="1" x14ac:dyDescent="0.3">
      <c r="A128" s="6" t="s">
        <v>223</v>
      </c>
      <c r="B128" s="6"/>
      <c r="C128" s="6" t="s">
        <v>218</v>
      </c>
      <c r="D128" s="11">
        <v>0</v>
      </c>
      <c r="E128" s="14"/>
      <c r="F128" s="12">
        <f t="shared" si="1"/>
        <v>0</v>
      </c>
    </row>
    <row r="129" spans="1:6" ht="20.25" thickTop="1" thickBot="1" x14ac:dyDescent="0.3">
      <c r="A129" s="6" t="s">
        <v>224</v>
      </c>
      <c r="B129" s="6"/>
      <c r="C129" s="6" t="s">
        <v>218</v>
      </c>
      <c r="D129" s="11">
        <v>0</v>
      </c>
      <c r="E129" s="14"/>
      <c r="F129" s="12">
        <f t="shared" si="1"/>
        <v>0</v>
      </c>
    </row>
    <row r="130" spans="1:6" ht="39" thickTop="1" thickBot="1" x14ac:dyDescent="0.3">
      <c r="A130" s="6" t="s">
        <v>226</v>
      </c>
      <c r="B130" s="6"/>
      <c r="C130" s="6" t="s">
        <v>218</v>
      </c>
      <c r="D130" s="11">
        <v>0</v>
      </c>
      <c r="E130" s="14"/>
      <c r="F130" s="12">
        <f t="shared" si="1"/>
        <v>0</v>
      </c>
    </row>
    <row r="131" spans="1:6" ht="20.25" thickTop="1" thickBot="1" x14ac:dyDescent="0.3">
      <c r="A131" s="6" t="s">
        <v>313</v>
      </c>
      <c r="B131" s="6"/>
      <c r="C131" s="6" t="s">
        <v>218</v>
      </c>
      <c r="D131" s="11">
        <v>80000</v>
      </c>
      <c r="E131" s="14"/>
      <c r="F131" s="13">
        <f t="shared" si="1"/>
        <v>0</v>
      </c>
    </row>
    <row r="132" spans="1:6" ht="24.75" thickTop="1" thickBot="1" x14ac:dyDescent="0.3">
      <c r="A132" s="46" t="s">
        <v>140</v>
      </c>
      <c r="B132" s="47"/>
      <c r="C132" s="47"/>
      <c r="D132" s="47"/>
      <c r="E132" s="47"/>
      <c r="F132" s="47"/>
    </row>
    <row r="133" spans="1:6" ht="20.25" thickTop="1" thickBot="1" x14ac:dyDescent="0.3">
      <c r="A133" s="6" t="s">
        <v>140</v>
      </c>
      <c r="B133" s="6"/>
      <c r="C133" s="6"/>
      <c r="D133" s="11">
        <v>11000</v>
      </c>
      <c r="E133" s="14">
        <v>0</v>
      </c>
      <c r="F133" s="13">
        <f>D133*E133</f>
        <v>0</v>
      </c>
    </row>
    <row r="134" spans="1:6" ht="22.5" thickTop="1" thickBot="1" x14ac:dyDescent="0.3">
      <c r="A134" s="58" t="s">
        <v>309</v>
      </c>
      <c r="B134" s="59"/>
      <c r="C134" s="59"/>
      <c r="D134" s="59"/>
      <c r="E134" s="59"/>
      <c r="F134" s="60"/>
    </row>
    <row r="135" spans="1:6" ht="20.25" thickTop="1" thickBot="1" x14ac:dyDescent="0.3">
      <c r="A135" s="6" t="s">
        <v>159</v>
      </c>
      <c r="B135" s="6"/>
      <c r="C135" s="6"/>
      <c r="D135" s="11">
        <v>4250</v>
      </c>
      <c r="E135" s="28"/>
      <c r="F135" s="12">
        <f>D135*E135</f>
        <v>0</v>
      </c>
    </row>
    <row r="136" spans="1:6" ht="20.25" thickTop="1" thickBot="1" x14ac:dyDescent="0.3">
      <c r="A136" s="6" t="s">
        <v>160</v>
      </c>
      <c r="B136" s="6"/>
      <c r="C136" s="6"/>
      <c r="D136" s="11">
        <v>2000</v>
      </c>
      <c r="E136" s="28"/>
      <c r="F136" s="12">
        <f>D136*E136</f>
        <v>0</v>
      </c>
    </row>
    <row r="137" spans="1:6" ht="20.25" thickTop="1" thickBot="1" x14ac:dyDescent="0.3">
      <c r="A137" s="6" t="s">
        <v>161</v>
      </c>
      <c r="B137" s="6"/>
      <c r="C137" s="6"/>
      <c r="D137" s="11">
        <v>2500</v>
      </c>
      <c r="E137" s="28">
        <v>0</v>
      </c>
      <c r="F137" s="12">
        <f>D137*E137</f>
        <v>0</v>
      </c>
    </row>
    <row r="138" spans="1:6" ht="20.25" thickTop="1" thickBot="1" x14ac:dyDescent="0.3">
      <c r="A138" s="6" t="s">
        <v>310</v>
      </c>
      <c r="B138" s="6"/>
      <c r="C138" s="6"/>
      <c r="D138" s="11"/>
      <c r="E138" s="28"/>
      <c r="F138" s="13"/>
    </row>
    <row r="139" spans="1:6" ht="20.25" thickTop="1" thickBot="1" x14ac:dyDescent="0.3">
      <c r="A139" s="6" t="s">
        <v>311</v>
      </c>
      <c r="B139" s="6"/>
      <c r="C139" s="6"/>
      <c r="D139" s="11"/>
      <c r="E139" s="28"/>
      <c r="F139" s="13"/>
    </row>
    <row r="140" spans="1:6" ht="20.25" thickTop="1" thickBot="1" x14ac:dyDescent="0.3">
      <c r="A140" s="6" t="s">
        <v>312</v>
      </c>
      <c r="B140" s="6"/>
      <c r="C140" s="6"/>
      <c r="D140" s="11"/>
      <c r="E140" s="28"/>
      <c r="F140" s="13"/>
    </row>
    <row r="141" spans="1:6" ht="24.75" thickTop="1" thickBot="1" x14ac:dyDescent="0.3">
      <c r="A141" s="46" t="s">
        <v>37</v>
      </c>
      <c r="B141" s="47"/>
      <c r="C141" s="47"/>
      <c r="D141" s="47"/>
      <c r="E141" s="47"/>
      <c r="F141" s="48"/>
    </row>
    <row r="142" spans="1:6" ht="22.5" thickTop="1" thickBot="1" x14ac:dyDescent="0.3">
      <c r="A142" s="49" t="s">
        <v>46</v>
      </c>
      <c r="B142" s="50"/>
      <c r="C142" s="50"/>
      <c r="D142" s="50"/>
      <c r="E142" s="50"/>
      <c r="F142" s="55"/>
    </row>
    <row r="143" spans="1:6" ht="20.25" thickTop="1" thickBot="1" x14ac:dyDescent="0.3">
      <c r="A143" s="6" t="s">
        <v>325</v>
      </c>
      <c r="B143" s="6"/>
      <c r="C143" s="6" t="s">
        <v>189</v>
      </c>
      <c r="D143" s="11">
        <v>165</v>
      </c>
      <c r="E143" s="14">
        <v>0</v>
      </c>
      <c r="F143" s="12">
        <f>D143*E143</f>
        <v>0</v>
      </c>
    </row>
    <row r="144" spans="1:6" ht="20.25" thickTop="1" thickBot="1" x14ac:dyDescent="0.3">
      <c r="A144" s="6" t="s">
        <v>330</v>
      </c>
      <c r="B144" s="6"/>
      <c r="C144" s="6" t="s">
        <v>189</v>
      </c>
      <c r="D144" s="11">
        <v>165</v>
      </c>
      <c r="E144" s="14"/>
      <c r="F144" s="12">
        <f>D144*E144</f>
        <v>0</v>
      </c>
    </row>
    <row r="145" spans="1:6" ht="20.25" thickTop="1" thickBot="1" x14ac:dyDescent="0.3">
      <c r="A145" s="6" t="s">
        <v>326</v>
      </c>
      <c r="B145" s="6"/>
      <c r="C145" s="6" t="s">
        <v>189</v>
      </c>
      <c r="D145" s="11">
        <v>45</v>
      </c>
      <c r="E145" s="14"/>
      <c r="F145" s="12"/>
    </row>
    <row r="146" spans="1:6" ht="20.25" thickTop="1" thickBot="1" x14ac:dyDescent="0.3">
      <c r="A146" s="6" t="s">
        <v>327</v>
      </c>
      <c r="B146" s="6"/>
      <c r="C146" s="6" t="s">
        <v>189</v>
      </c>
      <c r="D146" s="11">
        <v>310</v>
      </c>
      <c r="E146" s="14"/>
      <c r="F146" s="12">
        <f>D146*E146</f>
        <v>0</v>
      </c>
    </row>
    <row r="147" spans="1:6" ht="39" thickTop="1" thickBot="1" x14ac:dyDescent="0.3">
      <c r="A147" s="6" t="s">
        <v>328</v>
      </c>
      <c r="B147" s="6"/>
      <c r="C147" s="6" t="s">
        <v>189</v>
      </c>
      <c r="D147" s="11">
        <v>170</v>
      </c>
      <c r="E147" s="14"/>
      <c r="F147" s="12"/>
    </row>
    <row r="148" spans="1:6" ht="39" thickTop="1" thickBot="1" x14ac:dyDescent="0.3">
      <c r="A148" s="6" t="s">
        <v>329</v>
      </c>
      <c r="B148" s="6"/>
      <c r="C148" s="6" t="s">
        <v>189</v>
      </c>
      <c r="D148" s="11">
        <v>157</v>
      </c>
      <c r="E148" s="14"/>
      <c r="F148" s="12"/>
    </row>
    <row r="149" spans="1:6" ht="39" thickTop="1" thickBot="1" x14ac:dyDescent="0.3">
      <c r="A149" s="6" t="s">
        <v>78</v>
      </c>
      <c r="B149" s="6"/>
      <c r="C149" s="6" t="s">
        <v>189</v>
      </c>
      <c r="D149" s="11">
        <v>150</v>
      </c>
      <c r="E149" s="14"/>
      <c r="F149" s="12">
        <f>D149*E149</f>
        <v>0</v>
      </c>
    </row>
    <row r="150" spans="1:6" ht="22.5" thickTop="1" thickBot="1" x14ac:dyDescent="0.3">
      <c r="A150" s="49" t="s">
        <v>45</v>
      </c>
      <c r="B150" s="50"/>
      <c r="C150" s="50"/>
      <c r="D150" s="50"/>
      <c r="E150" s="50"/>
      <c r="F150" s="55"/>
    </row>
    <row r="151" spans="1:6" ht="20.25" thickTop="1" thickBot="1" x14ac:dyDescent="0.3">
      <c r="A151" s="6" t="s">
        <v>331</v>
      </c>
      <c r="B151" s="6"/>
      <c r="C151" s="6" t="s">
        <v>189</v>
      </c>
      <c r="D151" s="11">
        <v>490</v>
      </c>
      <c r="E151" s="14">
        <v>0</v>
      </c>
      <c r="F151" s="12">
        <f>D151*E151</f>
        <v>0</v>
      </c>
    </row>
    <row r="152" spans="1:6" ht="20.25" thickTop="1" thickBot="1" x14ac:dyDescent="0.3">
      <c r="A152" s="6" t="s">
        <v>332</v>
      </c>
      <c r="B152" s="6"/>
      <c r="C152" s="6" t="s">
        <v>189</v>
      </c>
      <c r="D152" s="11">
        <v>584</v>
      </c>
      <c r="E152" s="14"/>
      <c r="F152" s="12">
        <f t="shared" ref="F152:F158" si="4">D152*E152</f>
        <v>0</v>
      </c>
    </row>
    <row r="153" spans="1:6" ht="20.25" thickTop="1" thickBot="1" x14ac:dyDescent="0.3">
      <c r="A153" s="6" t="s">
        <v>333</v>
      </c>
      <c r="B153" s="6"/>
      <c r="C153" s="6" t="s">
        <v>189</v>
      </c>
      <c r="D153" s="11">
        <v>590</v>
      </c>
      <c r="E153" s="14"/>
      <c r="F153" s="12">
        <f t="shared" si="4"/>
        <v>0</v>
      </c>
    </row>
    <row r="154" spans="1:6" ht="20.25" thickTop="1" thickBot="1" x14ac:dyDescent="0.3">
      <c r="A154" s="6" t="s">
        <v>334</v>
      </c>
      <c r="B154" s="6"/>
      <c r="C154" s="6" t="s">
        <v>189</v>
      </c>
      <c r="D154" s="11">
        <v>951</v>
      </c>
      <c r="E154" s="14"/>
      <c r="F154" s="12">
        <f t="shared" si="4"/>
        <v>0</v>
      </c>
    </row>
    <row r="155" spans="1:6" ht="20.25" thickTop="1" thickBot="1" x14ac:dyDescent="0.3">
      <c r="A155" s="6" t="s">
        <v>335</v>
      </c>
      <c r="B155" s="6"/>
      <c r="C155" s="6" t="s">
        <v>189</v>
      </c>
      <c r="D155" s="11">
        <v>975</v>
      </c>
      <c r="E155" s="14"/>
      <c r="F155" s="12">
        <f t="shared" si="4"/>
        <v>0</v>
      </c>
    </row>
    <row r="156" spans="1:6" ht="20.25" thickTop="1" thickBot="1" x14ac:dyDescent="0.3">
      <c r="A156" s="6" t="s">
        <v>336</v>
      </c>
      <c r="B156" s="6"/>
      <c r="C156" s="6" t="s">
        <v>189</v>
      </c>
      <c r="D156" s="11">
        <v>1701</v>
      </c>
      <c r="E156" s="28">
        <v>0</v>
      </c>
      <c r="F156" s="12">
        <f t="shared" si="4"/>
        <v>0</v>
      </c>
    </row>
    <row r="157" spans="1:6" ht="39" thickTop="1" thickBot="1" x14ac:dyDescent="0.3">
      <c r="A157" s="6" t="s">
        <v>337</v>
      </c>
      <c r="B157" s="6"/>
      <c r="C157" s="6" t="s">
        <v>189</v>
      </c>
      <c r="D157" s="11">
        <v>462</v>
      </c>
      <c r="E157" s="28"/>
      <c r="F157" s="12">
        <f t="shared" si="4"/>
        <v>0</v>
      </c>
    </row>
    <row r="158" spans="1:6" ht="39" thickTop="1" thickBot="1" x14ac:dyDescent="0.3">
      <c r="A158" s="6" t="s">
        <v>338</v>
      </c>
      <c r="B158" s="6"/>
      <c r="C158" s="6" t="s">
        <v>189</v>
      </c>
      <c r="D158" s="11">
        <v>589</v>
      </c>
      <c r="E158" s="14">
        <v>0</v>
      </c>
      <c r="F158" s="12">
        <f t="shared" si="4"/>
        <v>0</v>
      </c>
    </row>
    <row r="159" spans="1:6" ht="24.75" thickTop="1" thickBot="1" x14ac:dyDescent="0.3">
      <c r="A159" s="61" t="s">
        <v>233</v>
      </c>
      <c r="B159" s="62"/>
      <c r="C159" s="62"/>
      <c r="D159" s="62"/>
      <c r="E159" s="62"/>
      <c r="F159" s="62"/>
    </row>
    <row r="160" spans="1:6" ht="20.25" thickTop="1" thickBot="1" x14ac:dyDescent="0.3">
      <c r="A160" s="6" t="s">
        <v>234</v>
      </c>
      <c r="B160" s="6"/>
      <c r="C160" s="6" t="s">
        <v>260</v>
      </c>
      <c r="D160" s="11">
        <v>357</v>
      </c>
      <c r="E160" s="14"/>
      <c r="F160" s="13">
        <f>E160*D160</f>
        <v>0</v>
      </c>
    </row>
    <row r="161" spans="1:6" ht="20.25" thickTop="1" thickBot="1" x14ac:dyDescent="0.3">
      <c r="A161" s="6" t="s">
        <v>235</v>
      </c>
      <c r="B161" s="6"/>
      <c r="C161" s="6" t="s">
        <v>260</v>
      </c>
      <c r="D161" s="11">
        <v>407</v>
      </c>
      <c r="E161" s="14"/>
      <c r="F161" s="13">
        <f t="shared" ref="F161:F168" si="5">E161*D161</f>
        <v>0</v>
      </c>
    </row>
    <row r="162" spans="1:6" ht="20.25" thickTop="1" thickBot="1" x14ac:dyDescent="0.3">
      <c r="A162" s="6" t="s">
        <v>236</v>
      </c>
      <c r="B162" s="6"/>
      <c r="C162" s="6" t="s">
        <v>260</v>
      </c>
      <c r="D162" s="11">
        <v>427</v>
      </c>
      <c r="E162" s="14"/>
      <c r="F162" s="13">
        <f t="shared" si="5"/>
        <v>0</v>
      </c>
    </row>
    <row r="163" spans="1:6" ht="20.25" thickTop="1" thickBot="1" x14ac:dyDescent="0.3">
      <c r="A163" s="6" t="s">
        <v>237</v>
      </c>
      <c r="B163" s="6"/>
      <c r="C163" s="6" t="s">
        <v>260</v>
      </c>
      <c r="D163" s="11">
        <v>603</v>
      </c>
      <c r="E163" s="14"/>
      <c r="F163" s="13">
        <f t="shared" si="5"/>
        <v>0</v>
      </c>
    </row>
    <row r="164" spans="1:6" ht="20.25" thickTop="1" thickBot="1" x14ac:dyDescent="0.3">
      <c r="A164" s="6" t="s">
        <v>238</v>
      </c>
      <c r="B164" s="6"/>
      <c r="C164" s="6" t="s">
        <v>260</v>
      </c>
      <c r="D164" s="11">
        <v>784</v>
      </c>
      <c r="E164" s="14"/>
      <c r="F164" s="13">
        <f t="shared" si="5"/>
        <v>0</v>
      </c>
    </row>
    <row r="165" spans="1:6" ht="20.25" thickTop="1" thickBot="1" x14ac:dyDescent="0.3">
      <c r="A165" s="6" t="s">
        <v>239</v>
      </c>
      <c r="B165" s="6"/>
      <c r="C165" s="6" t="s">
        <v>260</v>
      </c>
      <c r="D165" s="11">
        <v>172</v>
      </c>
      <c r="E165" s="14"/>
      <c r="F165" s="13">
        <f t="shared" si="5"/>
        <v>0</v>
      </c>
    </row>
    <row r="166" spans="1:6" ht="20.25" thickTop="1" thickBot="1" x14ac:dyDescent="0.3">
      <c r="A166" s="6" t="s">
        <v>240</v>
      </c>
      <c r="B166" s="6"/>
      <c r="C166" s="6" t="s">
        <v>260</v>
      </c>
      <c r="D166" s="11">
        <v>653</v>
      </c>
      <c r="E166" s="14"/>
      <c r="F166" s="13">
        <f t="shared" si="5"/>
        <v>0</v>
      </c>
    </row>
    <row r="167" spans="1:6" ht="20.25" thickTop="1" thickBot="1" x14ac:dyDescent="0.3">
      <c r="A167" s="6" t="s">
        <v>241</v>
      </c>
      <c r="B167" s="6"/>
      <c r="C167" s="6" t="s">
        <v>260</v>
      </c>
      <c r="D167" s="11">
        <v>535</v>
      </c>
      <c r="E167" s="14"/>
      <c r="F167" s="13">
        <f t="shared" si="5"/>
        <v>0</v>
      </c>
    </row>
    <row r="168" spans="1:6" ht="20.25" thickTop="1" thickBot="1" x14ac:dyDescent="0.3">
      <c r="A168" s="6" t="s">
        <v>242</v>
      </c>
      <c r="B168" s="6"/>
      <c r="C168" s="6" t="s">
        <v>260</v>
      </c>
      <c r="D168" s="11">
        <v>523</v>
      </c>
      <c r="E168" s="14"/>
      <c r="F168" s="13">
        <f t="shared" si="5"/>
        <v>0</v>
      </c>
    </row>
    <row r="169" spans="1:6" ht="22.5" thickTop="1" thickBot="1" x14ac:dyDescent="0.3">
      <c r="A169" s="49" t="s">
        <v>47</v>
      </c>
      <c r="B169" s="50"/>
      <c r="C169" s="50"/>
      <c r="D169" s="50"/>
      <c r="E169" s="50"/>
      <c r="F169" s="55"/>
    </row>
    <row r="170" spans="1:6" ht="20.25" thickTop="1" thickBot="1" x14ac:dyDescent="0.3">
      <c r="A170" s="6" t="s">
        <v>339</v>
      </c>
      <c r="B170" s="6"/>
      <c r="C170" s="6" t="s">
        <v>189</v>
      </c>
      <c r="D170" s="11">
        <v>14000</v>
      </c>
      <c r="E170" s="14"/>
      <c r="F170" s="12">
        <f>D170*E170</f>
        <v>0</v>
      </c>
    </row>
    <row r="171" spans="1:6" ht="57.75" thickTop="1" thickBot="1" x14ac:dyDescent="0.3">
      <c r="A171" s="6" t="s">
        <v>340</v>
      </c>
      <c r="B171" s="6"/>
      <c r="C171" s="6" t="s">
        <v>189</v>
      </c>
      <c r="D171" s="11">
        <v>2311</v>
      </c>
      <c r="E171" s="14"/>
      <c r="F171" s="12">
        <f t="shared" ref="F171:F178" si="6">D171*E171</f>
        <v>0</v>
      </c>
    </row>
    <row r="172" spans="1:6" ht="39" thickTop="1" thickBot="1" x14ac:dyDescent="0.3">
      <c r="A172" s="6" t="s">
        <v>342</v>
      </c>
      <c r="B172" s="6"/>
      <c r="C172" s="6" t="s">
        <v>189</v>
      </c>
      <c r="D172" s="11">
        <v>3869</v>
      </c>
      <c r="E172" s="14"/>
      <c r="F172" s="12"/>
    </row>
    <row r="173" spans="1:6" ht="39" thickTop="1" thickBot="1" x14ac:dyDescent="0.3">
      <c r="A173" s="6" t="s">
        <v>341</v>
      </c>
      <c r="B173" s="6"/>
      <c r="C173" s="6" t="s">
        <v>189</v>
      </c>
      <c r="D173" s="11">
        <v>3000</v>
      </c>
      <c r="E173" s="14"/>
      <c r="F173" s="12"/>
    </row>
    <row r="174" spans="1:6" ht="39" thickTop="1" thickBot="1" x14ac:dyDescent="0.3">
      <c r="A174" s="6" t="s">
        <v>343</v>
      </c>
      <c r="B174" s="6"/>
      <c r="C174" s="6" t="s">
        <v>189</v>
      </c>
      <c r="D174" s="11">
        <v>4683</v>
      </c>
      <c r="E174" s="14"/>
      <c r="F174" s="12">
        <f t="shared" si="6"/>
        <v>0</v>
      </c>
    </row>
    <row r="175" spans="1:6" ht="32.25" customHeight="1" thickTop="1" thickBot="1" x14ac:dyDescent="0.3">
      <c r="A175" s="6" t="s">
        <v>344</v>
      </c>
      <c r="B175" s="6"/>
      <c r="C175" s="6" t="s">
        <v>189</v>
      </c>
      <c r="D175" s="11">
        <v>3700</v>
      </c>
      <c r="E175" s="14"/>
      <c r="F175" s="12">
        <f t="shared" si="6"/>
        <v>0</v>
      </c>
    </row>
    <row r="176" spans="1:6" ht="39" customHeight="1" thickTop="1" thickBot="1" x14ac:dyDescent="0.3">
      <c r="A176" s="6" t="s">
        <v>345</v>
      </c>
      <c r="B176" s="6"/>
      <c r="C176" s="6" t="s">
        <v>189</v>
      </c>
      <c r="D176" s="11">
        <v>4700</v>
      </c>
      <c r="E176" s="14"/>
      <c r="F176" s="12">
        <f t="shared" si="6"/>
        <v>0</v>
      </c>
    </row>
    <row r="177" spans="1:6" ht="57.75" thickTop="1" thickBot="1" x14ac:dyDescent="0.3">
      <c r="A177" s="6" t="s">
        <v>346</v>
      </c>
      <c r="B177" s="6"/>
      <c r="C177" s="6" t="s">
        <v>189</v>
      </c>
      <c r="D177" s="11">
        <v>7600</v>
      </c>
      <c r="E177" s="14"/>
      <c r="F177" s="12">
        <f t="shared" si="6"/>
        <v>0</v>
      </c>
    </row>
    <row r="178" spans="1:6" ht="39" thickTop="1" thickBot="1" x14ac:dyDescent="0.3">
      <c r="A178" s="6" t="s">
        <v>347</v>
      </c>
      <c r="B178" s="6"/>
      <c r="C178" s="6" t="s">
        <v>189</v>
      </c>
      <c r="D178" s="11">
        <v>9300</v>
      </c>
      <c r="E178" s="14"/>
      <c r="F178" s="12">
        <f t="shared" si="6"/>
        <v>0</v>
      </c>
    </row>
    <row r="179" spans="1:6" ht="22.5" thickTop="1" thickBot="1" x14ac:dyDescent="0.3">
      <c r="A179" s="49" t="s">
        <v>48</v>
      </c>
      <c r="B179" s="50"/>
      <c r="C179" s="50"/>
      <c r="D179" s="50"/>
      <c r="E179" s="50"/>
      <c r="F179" s="55"/>
    </row>
    <row r="180" spans="1:6" ht="20.25" thickTop="1" thickBot="1" x14ac:dyDescent="0.3">
      <c r="A180" s="6" t="s">
        <v>113</v>
      </c>
      <c r="B180" s="6"/>
      <c r="C180" s="6" t="s">
        <v>260</v>
      </c>
      <c r="D180" s="11">
        <v>8203</v>
      </c>
      <c r="E180" s="14"/>
      <c r="F180" s="12">
        <f>D180*E180</f>
        <v>0</v>
      </c>
    </row>
    <row r="181" spans="1:6" ht="39" thickTop="1" thickBot="1" x14ac:dyDescent="0.3">
      <c r="A181" s="6" t="s">
        <v>109</v>
      </c>
      <c r="B181" s="6"/>
      <c r="C181" s="6" t="s">
        <v>260</v>
      </c>
      <c r="D181" s="11">
        <v>1113</v>
      </c>
      <c r="E181" s="14"/>
      <c r="F181" s="12">
        <f>D181*E181</f>
        <v>0</v>
      </c>
    </row>
    <row r="182" spans="1:6" ht="39" thickTop="1" thickBot="1" x14ac:dyDescent="0.3">
      <c r="A182" s="6" t="s">
        <v>110</v>
      </c>
      <c r="B182" s="6"/>
      <c r="C182" s="6" t="s">
        <v>260</v>
      </c>
      <c r="D182" s="11">
        <v>1829</v>
      </c>
      <c r="E182" s="14"/>
      <c r="F182" s="13">
        <f>D182*E182</f>
        <v>0</v>
      </c>
    </row>
    <row r="183" spans="1:6" ht="39" thickTop="1" thickBot="1" x14ac:dyDescent="0.3">
      <c r="A183" s="6" t="s">
        <v>111</v>
      </c>
      <c r="B183" s="6"/>
      <c r="C183" s="6" t="s">
        <v>260</v>
      </c>
      <c r="D183" s="11">
        <v>1245</v>
      </c>
      <c r="E183" s="14"/>
      <c r="F183" s="13">
        <f>D183*E183</f>
        <v>0</v>
      </c>
    </row>
    <row r="184" spans="1:6" ht="39" thickTop="1" thickBot="1" x14ac:dyDescent="0.3">
      <c r="A184" s="6" t="s">
        <v>112</v>
      </c>
      <c r="B184" s="6"/>
      <c r="C184" s="6" t="s">
        <v>260</v>
      </c>
      <c r="D184" s="11">
        <v>2166</v>
      </c>
      <c r="E184" s="14"/>
      <c r="F184" s="13">
        <f>D184*E184</f>
        <v>0</v>
      </c>
    </row>
    <row r="185" spans="1:6" ht="22.5" thickTop="1" thickBot="1" x14ac:dyDescent="0.3">
      <c r="A185" s="49" t="s">
        <v>259</v>
      </c>
      <c r="B185" s="50"/>
      <c r="C185" s="50"/>
      <c r="D185" s="50"/>
      <c r="E185" s="50"/>
      <c r="F185" s="50"/>
    </row>
    <row r="186" spans="1:6" ht="20.25" thickTop="1" thickBot="1" x14ac:dyDescent="0.3">
      <c r="A186" s="6" t="s">
        <v>243</v>
      </c>
      <c r="B186" s="6"/>
      <c r="C186" s="6" t="s">
        <v>260</v>
      </c>
      <c r="D186" s="11">
        <v>6633</v>
      </c>
      <c r="E186" s="14"/>
      <c r="F186" s="13">
        <f>E186*D186</f>
        <v>0</v>
      </c>
    </row>
    <row r="187" spans="1:6" ht="39" thickTop="1" thickBot="1" x14ac:dyDescent="0.3">
      <c r="A187" s="6" t="s">
        <v>244</v>
      </c>
      <c r="B187" s="6"/>
      <c r="C187" s="6" t="s">
        <v>260</v>
      </c>
      <c r="D187" s="11">
        <v>3305</v>
      </c>
      <c r="E187" s="14"/>
      <c r="F187" s="13">
        <f>E187*D187</f>
        <v>0</v>
      </c>
    </row>
    <row r="188" spans="1:6" ht="39" thickTop="1" thickBot="1" x14ac:dyDescent="0.3">
      <c r="A188" s="6" t="s">
        <v>245</v>
      </c>
      <c r="B188" s="6"/>
      <c r="C188" s="6" t="s">
        <v>260</v>
      </c>
      <c r="D188" s="11">
        <v>4178</v>
      </c>
      <c r="E188" s="14"/>
      <c r="F188" s="13">
        <f>E188*D188</f>
        <v>0</v>
      </c>
    </row>
    <row r="189" spans="1:6" ht="39" thickTop="1" thickBot="1" x14ac:dyDescent="0.3">
      <c r="A189" s="6" t="s">
        <v>246</v>
      </c>
      <c r="B189" s="6"/>
      <c r="C189" s="6" t="s">
        <v>260</v>
      </c>
      <c r="D189" s="11">
        <v>4974</v>
      </c>
      <c r="E189" s="14"/>
      <c r="F189" s="13">
        <f>E189*D189</f>
        <v>0</v>
      </c>
    </row>
    <row r="190" spans="1:6" ht="20.25" thickTop="1" thickBot="1" x14ac:dyDescent="0.3">
      <c r="A190" s="53"/>
      <c r="B190" s="54"/>
      <c r="C190" s="54"/>
      <c r="D190" s="54"/>
      <c r="E190" s="54"/>
      <c r="F190" s="54"/>
    </row>
    <row r="191" spans="1:6" ht="39" thickTop="1" thickBot="1" x14ac:dyDescent="0.3">
      <c r="A191" s="6" t="s">
        <v>247</v>
      </c>
      <c r="B191" s="6"/>
      <c r="C191" s="6" t="s">
        <v>260</v>
      </c>
      <c r="D191" s="11">
        <v>4514</v>
      </c>
      <c r="E191" s="14"/>
      <c r="F191" s="13">
        <f>E191*D191</f>
        <v>0</v>
      </c>
    </row>
    <row r="192" spans="1:6" ht="39" thickTop="1" thickBot="1" x14ac:dyDescent="0.3">
      <c r="A192" s="6" t="s">
        <v>248</v>
      </c>
      <c r="B192" s="6"/>
      <c r="C192" s="6" t="s">
        <v>260</v>
      </c>
      <c r="D192" s="11">
        <v>5437</v>
      </c>
      <c r="E192" s="14"/>
      <c r="F192" s="13">
        <f>E192*D192</f>
        <v>0</v>
      </c>
    </row>
    <row r="193" spans="1:6" ht="39" thickTop="1" thickBot="1" x14ac:dyDescent="0.3">
      <c r="A193" s="6" t="s">
        <v>249</v>
      </c>
      <c r="B193" s="6"/>
      <c r="C193" s="6" t="s">
        <v>260</v>
      </c>
      <c r="D193" s="11">
        <v>6243</v>
      </c>
      <c r="E193" s="14"/>
      <c r="F193" s="13">
        <f>E193*D193</f>
        <v>0</v>
      </c>
    </row>
    <row r="194" spans="1:6" ht="20.25" thickTop="1" thickBot="1" x14ac:dyDescent="0.3">
      <c r="A194" s="53"/>
      <c r="B194" s="54"/>
      <c r="C194" s="54"/>
      <c r="D194" s="54"/>
      <c r="E194" s="54"/>
      <c r="F194" s="54"/>
    </row>
    <row r="195" spans="1:6" ht="39" thickTop="1" thickBot="1" x14ac:dyDescent="0.3">
      <c r="A195" s="6" t="s">
        <v>250</v>
      </c>
      <c r="B195" s="6"/>
      <c r="C195" s="6" t="s">
        <v>260</v>
      </c>
      <c r="D195" s="11">
        <v>10007</v>
      </c>
      <c r="E195" s="14"/>
      <c r="F195" s="13">
        <f>E195*D195</f>
        <v>0</v>
      </c>
    </row>
    <row r="196" spans="1:6" ht="39" thickTop="1" thickBot="1" x14ac:dyDescent="0.3">
      <c r="A196" s="6" t="s">
        <v>251</v>
      </c>
      <c r="B196" s="6"/>
      <c r="C196" s="6" t="s">
        <v>260</v>
      </c>
      <c r="D196" s="11">
        <v>4875</v>
      </c>
      <c r="E196" s="14"/>
      <c r="F196" s="13">
        <f>E196*D196</f>
        <v>0</v>
      </c>
    </row>
    <row r="197" spans="1:6" ht="39" thickTop="1" thickBot="1" x14ac:dyDescent="0.3">
      <c r="A197" s="6" t="s">
        <v>252</v>
      </c>
      <c r="B197" s="6"/>
      <c r="C197" s="6" t="s">
        <v>260</v>
      </c>
      <c r="D197" s="11">
        <v>5434</v>
      </c>
      <c r="E197" s="14"/>
      <c r="F197" s="13">
        <f>E197*D197</f>
        <v>0</v>
      </c>
    </row>
    <row r="198" spans="1:6" ht="39" thickTop="1" thickBot="1" x14ac:dyDescent="0.3">
      <c r="A198" s="6" t="s">
        <v>253</v>
      </c>
      <c r="B198" s="6"/>
      <c r="C198" s="6" t="s">
        <v>260</v>
      </c>
      <c r="D198" s="11">
        <v>6254</v>
      </c>
      <c r="E198" s="14"/>
      <c r="F198" s="13">
        <f>E198*D198</f>
        <v>0</v>
      </c>
    </row>
    <row r="199" spans="1:6" ht="39" thickTop="1" thickBot="1" x14ac:dyDescent="0.3">
      <c r="A199" s="6" t="s">
        <v>254</v>
      </c>
      <c r="B199" s="6"/>
      <c r="C199" s="6" t="s">
        <v>260</v>
      </c>
      <c r="D199" s="11">
        <v>7990</v>
      </c>
      <c r="E199" s="14"/>
      <c r="F199" s="13">
        <f>E199*D199</f>
        <v>0</v>
      </c>
    </row>
    <row r="200" spans="1:6" ht="20.25" thickTop="1" thickBot="1" x14ac:dyDescent="0.3">
      <c r="A200" s="53"/>
      <c r="B200" s="54"/>
      <c r="C200" s="54"/>
      <c r="D200" s="54"/>
      <c r="E200" s="54"/>
      <c r="F200" s="54"/>
    </row>
    <row r="201" spans="1:6" ht="39" thickTop="1" thickBot="1" x14ac:dyDescent="0.3">
      <c r="A201" s="6" t="s">
        <v>255</v>
      </c>
      <c r="B201" s="6"/>
      <c r="C201" s="6" t="s">
        <v>260</v>
      </c>
      <c r="D201" s="11">
        <v>7490</v>
      </c>
      <c r="E201" s="14"/>
      <c r="F201" s="13">
        <f>E201*D201</f>
        <v>0</v>
      </c>
    </row>
    <row r="202" spans="1:6" ht="39" thickTop="1" thickBot="1" x14ac:dyDescent="0.3">
      <c r="A202" s="6" t="s">
        <v>256</v>
      </c>
      <c r="B202" s="6"/>
      <c r="C202" s="6" t="s">
        <v>260</v>
      </c>
      <c r="D202" s="11">
        <v>8042</v>
      </c>
      <c r="E202" s="14"/>
      <c r="F202" s="13">
        <f>E202*D202</f>
        <v>0</v>
      </c>
    </row>
    <row r="203" spans="1:6" ht="39" thickTop="1" thickBot="1" x14ac:dyDescent="0.3">
      <c r="A203" s="6" t="s">
        <v>257</v>
      </c>
      <c r="B203" s="6"/>
      <c r="C203" s="6" t="s">
        <v>260</v>
      </c>
      <c r="D203" s="11">
        <v>8862</v>
      </c>
      <c r="E203" s="14"/>
      <c r="F203" s="13">
        <f>E203*D203</f>
        <v>0</v>
      </c>
    </row>
    <row r="204" spans="1:6" ht="39" thickTop="1" thickBot="1" x14ac:dyDescent="0.3">
      <c r="A204" s="6" t="s">
        <v>258</v>
      </c>
      <c r="B204" s="6"/>
      <c r="C204" s="6" t="s">
        <v>260</v>
      </c>
      <c r="D204" s="11">
        <v>10598</v>
      </c>
      <c r="E204" s="14"/>
      <c r="F204" s="13">
        <f>E204*D204</f>
        <v>0</v>
      </c>
    </row>
    <row r="205" spans="1:6" ht="22.5" thickTop="1" thickBot="1" x14ac:dyDescent="0.3">
      <c r="A205" s="49" t="s">
        <v>49</v>
      </c>
      <c r="B205" s="50"/>
      <c r="C205" s="50"/>
      <c r="D205" s="50"/>
      <c r="E205" s="50"/>
      <c r="F205" s="50"/>
    </row>
    <row r="206" spans="1:6" ht="22.5" thickTop="1" thickBot="1" x14ac:dyDescent="0.3">
      <c r="A206" s="51" t="s">
        <v>307</v>
      </c>
      <c r="B206" s="52"/>
      <c r="C206" s="52"/>
      <c r="D206" s="52"/>
      <c r="E206" s="52"/>
      <c r="F206" s="52"/>
    </row>
    <row r="207" spans="1:6" ht="20.25" thickTop="1" thickBot="1" x14ac:dyDescent="0.3">
      <c r="A207" s="6" t="s">
        <v>261</v>
      </c>
      <c r="B207" s="6"/>
      <c r="C207" s="6" t="s">
        <v>189</v>
      </c>
      <c r="D207" s="11">
        <v>9000</v>
      </c>
      <c r="E207" s="14">
        <v>0</v>
      </c>
      <c r="F207" s="12">
        <f>D207*E207</f>
        <v>0</v>
      </c>
    </row>
    <row r="208" spans="1:6" ht="20.25" thickTop="1" thickBot="1" x14ac:dyDescent="0.3">
      <c r="A208" s="6" t="s">
        <v>262</v>
      </c>
      <c r="B208" s="6"/>
      <c r="C208" s="6" t="s">
        <v>189</v>
      </c>
      <c r="D208" s="11">
        <v>5300</v>
      </c>
      <c r="E208" s="14">
        <v>0</v>
      </c>
      <c r="F208" s="12">
        <f t="shared" ref="F208:F216" si="7">D208*E208</f>
        <v>0</v>
      </c>
    </row>
    <row r="209" spans="1:6" ht="39" thickTop="1" thickBot="1" x14ac:dyDescent="0.3">
      <c r="A209" s="6" t="s">
        <v>263</v>
      </c>
      <c r="B209" s="6"/>
      <c r="C209" s="6" t="s">
        <v>189</v>
      </c>
      <c r="D209" s="11">
        <v>6500</v>
      </c>
      <c r="E209" s="14"/>
      <c r="F209" s="12">
        <f t="shared" si="7"/>
        <v>0</v>
      </c>
    </row>
    <row r="210" spans="1:6" ht="39" thickTop="1" thickBot="1" x14ac:dyDescent="0.3">
      <c r="A210" s="6" t="s">
        <v>264</v>
      </c>
      <c r="B210" s="6"/>
      <c r="C210" s="6" t="s">
        <v>189</v>
      </c>
      <c r="D210" s="11">
        <v>7600</v>
      </c>
      <c r="E210" s="14">
        <v>0</v>
      </c>
      <c r="F210" s="12"/>
    </row>
    <row r="211" spans="1:6" ht="20.25" thickTop="1" thickBot="1" x14ac:dyDescent="0.3">
      <c r="A211" s="6" t="s">
        <v>350</v>
      </c>
      <c r="B211" s="6"/>
      <c r="C211" s="6" t="s">
        <v>189</v>
      </c>
      <c r="D211" s="11">
        <v>5900</v>
      </c>
      <c r="E211" s="14"/>
      <c r="F211" s="12">
        <f t="shared" si="7"/>
        <v>0</v>
      </c>
    </row>
    <row r="212" spans="1:6" ht="22.5" thickTop="1" thickBot="1" x14ac:dyDescent="0.3">
      <c r="A212" s="51" t="s">
        <v>308</v>
      </c>
      <c r="B212" s="52"/>
      <c r="C212" s="52"/>
      <c r="D212" s="52"/>
      <c r="E212" s="52"/>
      <c r="F212" s="52"/>
    </row>
    <row r="213" spans="1:6" ht="20.25" thickTop="1" thickBot="1" x14ac:dyDescent="0.3">
      <c r="A213" s="6" t="s">
        <v>348</v>
      </c>
      <c r="B213" s="6"/>
      <c r="C213" s="6" t="s">
        <v>189</v>
      </c>
      <c r="D213" s="11">
        <v>11800</v>
      </c>
      <c r="E213" s="14"/>
      <c r="F213" s="12">
        <f t="shared" si="7"/>
        <v>0</v>
      </c>
    </row>
    <row r="214" spans="1:6" ht="39" thickTop="1" thickBot="1" x14ac:dyDescent="0.3">
      <c r="A214" s="6" t="s">
        <v>265</v>
      </c>
      <c r="B214" s="6"/>
      <c r="C214" s="6" t="s">
        <v>189</v>
      </c>
      <c r="D214" s="11">
        <v>8500</v>
      </c>
      <c r="E214" s="14"/>
      <c r="F214" s="12">
        <f t="shared" si="7"/>
        <v>0</v>
      </c>
    </row>
    <row r="215" spans="1:6" ht="39" thickTop="1" thickBot="1" x14ac:dyDescent="0.3">
      <c r="A215" s="6" t="s">
        <v>266</v>
      </c>
      <c r="B215" s="6"/>
      <c r="C215" s="6" t="s">
        <v>189</v>
      </c>
      <c r="D215" s="11">
        <v>9700</v>
      </c>
      <c r="E215" s="14"/>
      <c r="F215" s="12">
        <f t="shared" si="7"/>
        <v>0</v>
      </c>
    </row>
    <row r="216" spans="1:6" ht="39" thickTop="1" thickBot="1" x14ac:dyDescent="0.3">
      <c r="A216" s="6" t="s">
        <v>267</v>
      </c>
      <c r="B216" s="6"/>
      <c r="C216" s="6" t="s">
        <v>189</v>
      </c>
      <c r="D216" s="11">
        <v>10800</v>
      </c>
      <c r="E216" s="14"/>
      <c r="F216" s="12">
        <f t="shared" si="7"/>
        <v>0</v>
      </c>
    </row>
    <row r="217" spans="1:6" ht="22.5" thickTop="1" thickBot="1" x14ac:dyDescent="0.3">
      <c r="A217" s="51" t="s">
        <v>268</v>
      </c>
      <c r="B217" s="52"/>
      <c r="C217" s="52"/>
      <c r="D217" s="52"/>
      <c r="E217" s="52"/>
      <c r="F217" s="52"/>
    </row>
    <row r="218" spans="1:6" ht="20.25" thickTop="1" thickBot="1" x14ac:dyDescent="0.3">
      <c r="A218" s="6" t="s">
        <v>362</v>
      </c>
      <c r="B218" s="6"/>
      <c r="C218" s="6" t="s">
        <v>189</v>
      </c>
      <c r="D218" s="11">
        <v>12800</v>
      </c>
      <c r="E218" s="14"/>
      <c r="F218" s="13"/>
    </row>
    <row r="219" spans="1:6" ht="20.25" thickTop="1" thickBot="1" x14ac:dyDescent="0.3">
      <c r="A219" s="6" t="s">
        <v>349</v>
      </c>
      <c r="B219" s="6"/>
      <c r="C219" s="6" t="s">
        <v>189</v>
      </c>
      <c r="D219" s="11">
        <v>7230</v>
      </c>
      <c r="E219" s="14"/>
      <c r="F219" s="13"/>
    </row>
    <row r="220" spans="1:6" ht="20.25" thickTop="1" thickBot="1" x14ac:dyDescent="0.3">
      <c r="A220" s="6" t="s">
        <v>351</v>
      </c>
      <c r="B220" s="6"/>
      <c r="C220" s="6" t="s">
        <v>189</v>
      </c>
      <c r="D220" s="11">
        <v>8200</v>
      </c>
      <c r="E220" s="14"/>
      <c r="F220" s="13"/>
    </row>
    <row r="221" spans="1:6" ht="20.25" thickTop="1" thickBot="1" x14ac:dyDescent="0.3">
      <c r="A221" s="6" t="s">
        <v>352</v>
      </c>
      <c r="B221" s="6"/>
      <c r="C221" s="6" t="s">
        <v>189</v>
      </c>
      <c r="D221" s="11">
        <v>9200</v>
      </c>
      <c r="E221" s="14"/>
      <c r="F221" s="13"/>
    </row>
    <row r="222" spans="1:6" ht="20.25" thickTop="1" thickBot="1" x14ac:dyDescent="0.3">
      <c r="A222" s="6" t="s">
        <v>353</v>
      </c>
      <c r="B222" s="6"/>
      <c r="C222" s="6" t="s">
        <v>189</v>
      </c>
      <c r="D222" s="11">
        <v>13150</v>
      </c>
      <c r="E222" s="14"/>
      <c r="F222" s="13"/>
    </row>
    <row r="223" spans="1:6" ht="20.25" thickTop="1" thickBot="1" x14ac:dyDescent="0.3">
      <c r="A223" s="6" t="s">
        <v>361</v>
      </c>
      <c r="B223" s="6"/>
      <c r="C223" s="6" t="s">
        <v>189</v>
      </c>
      <c r="D223" s="11">
        <v>10600</v>
      </c>
      <c r="E223" s="14"/>
      <c r="F223" s="13"/>
    </row>
    <row r="224" spans="1:6" ht="22.5" thickTop="1" thickBot="1" x14ac:dyDescent="0.3">
      <c r="A224" s="51" t="s">
        <v>354</v>
      </c>
      <c r="B224" s="52"/>
      <c r="C224" s="52"/>
      <c r="D224" s="52"/>
      <c r="E224" s="52"/>
      <c r="F224" s="52"/>
    </row>
    <row r="225" spans="1:6" ht="20.25" thickTop="1" thickBot="1" x14ac:dyDescent="0.3">
      <c r="A225" s="6" t="s">
        <v>355</v>
      </c>
      <c r="B225" s="6"/>
      <c r="C225" s="6" t="s">
        <v>189</v>
      </c>
      <c r="D225" s="11">
        <v>15150</v>
      </c>
      <c r="E225" s="14"/>
      <c r="F225" s="13"/>
    </row>
    <row r="226" spans="1:6" ht="39" thickTop="1" thickBot="1" x14ac:dyDescent="0.3">
      <c r="A226" s="6" t="s">
        <v>356</v>
      </c>
      <c r="B226" s="6"/>
      <c r="C226" s="6" t="s">
        <v>189</v>
      </c>
      <c r="D226" s="11">
        <v>10445</v>
      </c>
      <c r="E226" s="14"/>
      <c r="F226" s="13"/>
    </row>
    <row r="227" spans="1:6" ht="20.25" thickTop="1" thickBot="1" x14ac:dyDescent="0.3">
      <c r="A227" s="6" t="s">
        <v>357</v>
      </c>
      <c r="B227" s="6"/>
      <c r="C227" s="6" t="s">
        <v>189</v>
      </c>
      <c r="D227" s="11">
        <v>11382</v>
      </c>
      <c r="E227" s="14"/>
      <c r="F227" s="13"/>
    </row>
    <row r="228" spans="1:6" ht="20.25" thickTop="1" thickBot="1" x14ac:dyDescent="0.3">
      <c r="A228" s="6" t="s">
        <v>358</v>
      </c>
      <c r="B228" s="6"/>
      <c r="C228" s="6" t="s">
        <v>189</v>
      </c>
      <c r="D228" s="11">
        <v>12446</v>
      </c>
      <c r="E228" s="14"/>
      <c r="F228" s="13"/>
    </row>
    <row r="229" spans="1:6" ht="20.25" thickTop="1" thickBot="1" x14ac:dyDescent="0.3">
      <c r="A229" s="6" t="s">
        <v>359</v>
      </c>
      <c r="B229" s="6"/>
      <c r="C229" s="6" t="s">
        <v>189</v>
      </c>
      <c r="D229" s="11">
        <v>16347</v>
      </c>
      <c r="E229" s="14"/>
      <c r="F229" s="13"/>
    </row>
    <row r="230" spans="1:6" ht="20.25" thickTop="1" thickBot="1" x14ac:dyDescent="0.3">
      <c r="A230" s="6" t="s">
        <v>360</v>
      </c>
      <c r="B230" s="6"/>
      <c r="C230" s="6" t="s">
        <v>189</v>
      </c>
      <c r="D230" s="11">
        <v>10600</v>
      </c>
      <c r="E230" s="14"/>
      <c r="F230" s="13"/>
    </row>
    <row r="231" spans="1:6" ht="18" customHeight="1" thickTop="1" thickBot="1" x14ac:dyDescent="0.3">
      <c r="A231" s="49" t="s">
        <v>50</v>
      </c>
      <c r="B231" s="50"/>
      <c r="C231" s="50"/>
      <c r="D231" s="50"/>
      <c r="E231" s="50"/>
      <c r="F231" s="55"/>
    </row>
    <row r="232" spans="1:6" ht="18" customHeight="1" thickTop="1" thickBot="1" x14ac:dyDescent="0.3">
      <c r="A232" s="51" t="s">
        <v>269</v>
      </c>
      <c r="B232" s="52"/>
      <c r="C232" s="52"/>
      <c r="D232" s="52"/>
      <c r="E232" s="52"/>
      <c r="F232" s="52"/>
    </row>
    <row r="233" spans="1:6" ht="18" customHeight="1" thickTop="1" thickBot="1" x14ac:dyDescent="0.3">
      <c r="A233" s="6" t="s">
        <v>79</v>
      </c>
      <c r="B233" s="6"/>
      <c r="C233" s="6" t="s">
        <v>189</v>
      </c>
      <c r="D233" s="11">
        <v>3650</v>
      </c>
      <c r="E233" s="14"/>
      <c r="F233" s="12">
        <f>D233*E233</f>
        <v>0</v>
      </c>
    </row>
    <row r="234" spans="1:6" ht="18" customHeight="1" thickTop="1" thickBot="1" x14ac:dyDescent="0.3">
      <c r="A234" s="6" t="s">
        <v>114</v>
      </c>
      <c r="B234" s="6"/>
      <c r="C234" s="6" t="s">
        <v>189</v>
      </c>
      <c r="D234" s="11">
        <v>1656</v>
      </c>
      <c r="E234" s="14"/>
      <c r="F234" s="12">
        <f>D234*E234</f>
        <v>0</v>
      </c>
    </row>
    <row r="235" spans="1:6" ht="18" customHeight="1" thickTop="1" thickBot="1" x14ac:dyDescent="0.3">
      <c r="A235" s="6" t="s">
        <v>115</v>
      </c>
      <c r="B235" s="6"/>
      <c r="C235" s="6" t="s">
        <v>189</v>
      </c>
      <c r="D235" s="11">
        <v>1910</v>
      </c>
      <c r="E235" s="14"/>
      <c r="F235" s="12">
        <f t="shared" ref="F235:F242" si="8">D235*E235</f>
        <v>0</v>
      </c>
    </row>
    <row r="236" spans="1:6" ht="18" customHeight="1" thickTop="1" thickBot="1" x14ac:dyDescent="0.3">
      <c r="A236" s="6" t="s">
        <v>116</v>
      </c>
      <c r="B236" s="6"/>
      <c r="C236" s="6" t="s">
        <v>189</v>
      </c>
      <c r="D236" s="11">
        <v>2250</v>
      </c>
      <c r="E236" s="14"/>
      <c r="F236" s="12">
        <f t="shared" si="8"/>
        <v>0</v>
      </c>
    </row>
    <row r="237" spans="1:6" ht="18" customHeight="1" thickTop="1" thickBot="1" x14ac:dyDescent="0.3">
      <c r="A237" s="6" t="s">
        <v>117</v>
      </c>
      <c r="B237" s="6"/>
      <c r="C237" s="6" t="s">
        <v>189</v>
      </c>
      <c r="D237" s="11">
        <v>2350</v>
      </c>
      <c r="E237" s="14"/>
      <c r="F237" s="12">
        <f t="shared" si="8"/>
        <v>0</v>
      </c>
    </row>
    <row r="238" spans="1:6" ht="18" customHeight="1" thickTop="1" thickBot="1" x14ac:dyDescent="0.3">
      <c r="A238" s="51" t="s">
        <v>363</v>
      </c>
      <c r="B238" s="52"/>
      <c r="C238" s="52"/>
      <c r="D238" s="52"/>
      <c r="E238" s="52"/>
      <c r="F238" s="52"/>
    </row>
    <row r="239" spans="1:6" ht="18" customHeight="1" thickTop="1" thickBot="1" x14ac:dyDescent="0.3">
      <c r="A239" s="6" t="s">
        <v>118</v>
      </c>
      <c r="B239" s="6"/>
      <c r="C239" s="6" t="s">
        <v>189</v>
      </c>
      <c r="D239" s="11"/>
      <c r="E239" s="14"/>
      <c r="F239" s="12">
        <f t="shared" si="8"/>
        <v>0</v>
      </c>
    </row>
    <row r="240" spans="1:6" ht="18" customHeight="1" thickTop="1" thickBot="1" x14ac:dyDescent="0.3">
      <c r="A240" s="6" t="s">
        <v>119</v>
      </c>
      <c r="B240" s="6"/>
      <c r="C240" s="6" t="s">
        <v>189</v>
      </c>
      <c r="D240" s="11"/>
      <c r="E240" s="14"/>
      <c r="F240" s="12">
        <f t="shared" si="8"/>
        <v>0</v>
      </c>
    </row>
    <row r="241" spans="1:6" ht="18" customHeight="1" thickTop="1" thickBot="1" x14ac:dyDescent="0.3">
      <c r="A241" s="6" t="s">
        <v>120</v>
      </c>
      <c r="B241" s="6"/>
      <c r="C241" s="6" t="s">
        <v>189</v>
      </c>
      <c r="D241" s="11"/>
      <c r="E241" s="14"/>
      <c r="F241" s="12">
        <f t="shared" si="8"/>
        <v>0</v>
      </c>
    </row>
    <row r="242" spans="1:6" ht="18" customHeight="1" thickTop="1" thickBot="1" x14ac:dyDescent="0.3">
      <c r="A242" s="6" t="s">
        <v>121</v>
      </c>
      <c r="B242" s="6"/>
      <c r="C242" s="6" t="s">
        <v>189</v>
      </c>
      <c r="D242" s="11"/>
      <c r="E242" s="14"/>
      <c r="F242" s="12">
        <f t="shared" si="8"/>
        <v>0</v>
      </c>
    </row>
    <row r="243" spans="1:6" ht="18" customHeight="1" thickTop="1" thickBot="1" x14ac:dyDescent="0.3">
      <c r="A243" s="63" t="s">
        <v>364</v>
      </c>
      <c r="B243" s="64"/>
      <c r="C243" s="64"/>
      <c r="D243" s="64"/>
      <c r="E243" s="64"/>
      <c r="F243" s="65"/>
    </row>
    <row r="244" spans="1:6" ht="18" customHeight="1" thickTop="1" thickBot="1" x14ac:dyDescent="0.3">
      <c r="A244" s="51" t="s">
        <v>303</v>
      </c>
      <c r="B244" s="52"/>
      <c r="C244" s="52"/>
      <c r="D244" s="52"/>
      <c r="E244" s="52"/>
      <c r="F244" s="52"/>
    </row>
    <row r="245" spans="1:6" ht="18" customHeight="1" thickTop="1" thickBot="1" x14ac:dyDescent="0.3">
      <c r="A245" s="6" t="s">
        <v>80</v>
      </c>
      <c r="B245" s="6"/>
      <c r="C245" s="6" t="s">
        <v>189</v>
      </c>
      <c r="D245" s="11">
        <v>3885</v>
      </c>
      <c r="E245" s="32"/>
      <c r="F245" s="12">
        <f>D245*E245</f>
        <v>0</v>
      </c>
    </row>
    <row r="246" spans="1:6" ht="18" customHeight="1" thickTop="1" thickBot="1" x14ac:dyDescent="0.3">
      <c r="A246" s="6" t="s">
        <v>81</v>
      </c>
      <c r="B246" s="6"/>
      <c r="C246" s="6" t="s">
        <v>189</v>
      </c>
      <c r="D246" s="11">
        <v>3885</v>
      </c>
      <c r="E246" s="32"/>
      <c r="F246" s="12">
        <f t="shared" ref="F246:F292" si="9">D246*E246</f>
        <v>0</v>
      </c>
    </row>
    <row r="247" spans="1:6" ht="18" customHeight="1" thickTop="1" thickBot="1" x14ac:dyDescent="0.3">
      <c r="A247" s="6" t="s">
        <v>82</v>
      </c>
      <c r="B247" s="6"/>
      <c r="C247" s="6" t="s">
        <v>189</v>
      </c>
      <c r="D247" s="11">
        <v>3885</v>
      </c>
      <c r="E247" s="32"/>
      <c r="F247" s="12">
        <f t="shared" si="9"/>
        <v>0</v>
      </c>
    </row>
    <row r="248" spans="1:6" ht="18" customHeight="1" thickTop="1" thickBot="1" x14ac:dyDescent="0.3">
      <c r="A248" s="6" t="s">
        <v>83</v>
      </c>
      <c r="B248" s="6"/>
      <c r="C248" s="6" t="s">
        <v>189</v>
      </c>
      <c r="D248" s="11">
        <v>3931</v>
      </c>
      <c r="E248" s="32"/>
      <c r="F248" s="12">
        <f t="shared" si="9"/>
        <v>0</v>
      </c>
    </row>
    <row r="249" spans="1:6" ht="18" customHeight="1" thickTop="1" thickBot="1" x14ac:dyDescent="0.3">
      <c r="A249" s="6" t="s">
        <v>84</v>
      </c>
      <c r="B249" s="6"/>
      <c r="C249" s="6" t="s">
        <v>189</v>
      </c>
      <c r="D249" s="11">
        <v>3979</v>
      </c>
      <c r="E249" s="32"/>
      <c r="F249" s="12">
        <f t="shared" si="9"/>
        <v>0</v>
      </c>
    </row>
    <row r="250" spans="1:6" ht="18" customHeight="1" thickTop="1" thickBot="1" x14ac:dyDescent="0.3">
      <c r="A250" s="6" t="s">
        <v>85</v>
      </c>
      <c r="B250" s="6"/>
      <c r="C250" s="6" t="s">
        <v>189</v>
      </c>
      <c r="D250" s="11">
        <v>4023</v>
      </c>
      <c r="E250" s="32"/>
      <c r="F250" s="12">
        <f t="shared" si="9"/>
        <v>0</v>
      </c>
    </row>
    <row r="251" spans="1:6" ht="18" customHeight="1" thickTop="1" thickBot="1" x14ac:dyDescent="0.3">
      <c r="A251" s="6" t="s">
        <v>86</v>
      </c>
      <c r="B251" s="6"/>
      <c r="C251" s="6" t="s">
        <v>189</v>
      </c>
      <c r="D251" s="11">
        <v>4196</v>
      </c>
      <c r="E251" s="32"/>
      <c r="F251" s="12">
        <f t="shared" si="9"/>
        <v>0</v>
      </c>
    </row>
    <row r="252" spans="1:6" ht="18" customHeight="1" thickTop="1" thickBot="1" x14ac:dyDescent="0.3">
      <c r="A252" s="51" t="s">
        <v>304</v>
      </c>
      <c r="B252" s="52"/>
      <c r="C252" s="52"/>
      <c r="D252" s="52"/>
      <c r="E252" s="52"/>
      <c r="F252" s="52"/>
    </row>
    <row r="253" spans="1:6" ht="18" customHeight="1" thickTop="1" thickBot="1" x14ac:dyDescent="0.3">
      <c r="A253" s="6" t="s">
        <v>88</v>
      </c>
      <c r="B253" s="6"/>
      <c r="C253" s="6" t="s">
        <v>189</v>
      </c>
      <c r="D253" s="11">
        <v>4183</v>
      </c>
      <c r="E253" s="32"/>
      <c r="F253" s="12">
        <f t="shared" si="9"/>
        <v>0</v>
      </c>
    </row>
    <row r="254" spans="1:6" ht="18" customHeight="1" thickTop="1" thickBot="1" x14ac:dyDescent="0.3">
      <c r="A254" s="6" t="s">
        <v>89</v>
      </c>
      <c r="B254" s="6"/>
      <c r="C254" s="6" t="s">
        <v>189</v>
      </c>
      <c r="D254" s="11">
        <v>4183</v>
      </c>
      <c r="E254" s="32"/>
      <c r="F254" s="12">
        <f t="shared" si="9"/>
        <v>0</v>
      </c>
    </row>
    <row r="255" spans="1:6" ht="18" customHeight="1" thickTop="1" thickBot="1" x14ac:dyDescent="0.3">
      <c r="A255" s="6" t="s">
        <v>90</v>
      </c>
      <c r="B255" s="6"/>
      <c r="C255" s="6" t="s">
        <v>189</v>
      </c>
      <c r="D255" s="11">
        <v>4183</v>
      </c>
      <c r="E255" s="32"/>
      <c r="F255" s="12">
        <f t="shared" si="9"/>
        <v>0</v>
      </c>
    </row>
    <row r="256" spans="1:6" ht="18" customHeight="1" thickTop="1" thickBot="1" x14ac:dyDescent="0.3">
      <c r="A256" s="6" t="s">
        <v>91</v>
      </c>
      <c r="B256" s="6"/>
      <c r="C256" s="6" t="s">
        <v>189</v>
      </c>
      <c r="D256" s="11">
        <v>4232</v>
      </c>
      <c r="E256" s="32"/>
      <c r="F256" s="12">
        <f t="shared" si="9"/>
        <v>0</v>
      </c>
    </row>
    <row r="257" spans="1:6" ht="18" customHeight="1" thickTop="1" thickBot="1" x14ac:dyDescent="0.3">
      <c r="A257" s="6" t="s">
        <v>92</v>
      </c>
      <c r="B257" s="6"/>
      <c r="C257" s="6" t="s">
        <v>189</v>
      </c>
      <c r="D257" s="11">
        <v>4279</v>
      </c>
      <c r="E257" s="32"/>
      <c r="F257" s="12">
        <f t="shared" si="9"/>
        <v>0</v>
      </c>
    </row>
    <row r="258" spans="1:6" ht="18" customHeight="1" thickTop="1" thickBot="1" x14ac:dyDescent="0.3">
      <c r="A258" s="6" t="s">
        <v>93</v>
      </c>
      <c r="B258" s="6"/>
      <c r="C258" s="6" t="s">
        <v>189</v>
      </c>
      <c r="D258" s="11">
        <v>4325</v>
      </c>
      <c r="E258" s="32"/>
      <c r="F258" s="12">
        <f t="shared" si="9"/>
        <v>0</v>
      </c>
    </row>
    <row r="259" spans="1:6" ht="18" customHeight="1" thickTop="1" thickBot="1" x14ac:dyDescent="0.3">
      <c r="A259" s="6" t="s">
        <v>87</v>
      </c>
      <c r="B259" s="6"/>
      <c r="C259" s="6" t="s">
        <v>189</v>
      </c>
      <c r="D259" s="11">
        <v>4496</v>
      </c>
      <c r="E259" s="32"/>
      <c r="F259" s="12">
        <f t="shared" si="9"/>
        <v>0</v>
      </c>
    </row>
    <row r="260" spans="1:6" ht="18" customHeight="1" thickTop="1" thickBot="1" x14ac:dyDescent="0.3">
      <c r="A260" s="6" t="s">
        <v>365</v>
      </c>
      <c r="B260" s="6"/>
      <c r="C260" s="6" t="s">
        <v>189</v>
      </c>
      <c r="D260" s="11">
        <v>478</v>
      </c>
      <c r="E260" s="32"/>
      <c r="F260" s="12">
        <f t="shared" si="9"/>
        <v>0</v>
      </c>
    </row>
    <row r="261" spans="1:6" ht="18" customHeight="1" thickTop="1" thickBot="1" x14ac:dyDescent="0.3">
      <c r="A261" s="51" t="s">
        <v>305</v>
      </c>
      <c r="B261" s="52"/>
      <c r="C261" s="52"/>
      <c r="D261" s="52"/>
      <c r="E261" s="52"/>
      <c r="F261" s="52"/>
    </row>
    <row r="262" spans="1:6" ht="18" customHeight="1" thickTop="1" thickBot="1" x14ac:dyDescent="0.3">
      <c r="A262" s="6" t="s">
        <v>94</v>
      </c>
      <c r="B262" s="6"/>
      <c r="C262" s="6" t="s">
        <v>189</v>
      </c>
      <c r="D262" s="11">
        <v>4738</v>
      </c>
      <c r="E262" s="32"/>
      <c r="F262" s="12">
        <f t="shared" si="9"/>
        <v>0</v>
      </c>
    </row>
    <row r="263" spans="1:6" ht="18" customHeight="1" thickTop="1" thickBot="1" x14ac:dyDescent="0.3">
      <c r="A263" s="6" t="s">
        <v>95</v>
      </c>
      <c r="B263" s="6"/>
      <c r="C263" s="6" t="s">
        <v>189</v>
      </c>
      <c r="D263" s="11">
        <v>4738</v>
      </c>
      <c r="E263" s="32"/>
      <c r="F263" s="12">
        <f t="shared" si="9"/>
        <v>0</v>
      </c>
    </row>
    <row r="264" spans="1:6" ht="18" customHeight="1" thickTop="1" thickBot="1" x14ac:dyDescent="0.3">
      <c r="A264" s="6" t="s">
        <v>96</v>
      </c>
      <c r="B264" s="6"/>
      <c r="C264" s="6" t="s">
        <v>189</v>
      </c>
      <c r="D264" s="11">
        <v>4738</v>
      </c>
      <c r="E264" s="32"/>
      <c r="F264" s="12">
        <f t="shared" si="9"/>
        <v>0</v>
      </c>
    </row>
    <row r="265" spans="1:6" ht="18" customHeight="1" thickTop="1" thickBot="1" x14ac:dyDescent="0.3">
      <c r="A265" s="6" t="s">
        <v>97</v>
      </c>
      <c r="B265" s="6"/>
      <c r="C265" s="6" t="s">
        <v>189</v>
      </c>
      <c r="D265" s="11">
        <v>4786</v>
      </c>
      <c r="E265" s="32"/>
      <c r="F265" s="12">
        <f t="shared" si="9"/>
        <v>0</v>
      </c>
    </row>
    <row r="266" spans="1:6" ht="18" customHeight="1" thickTop="1" thickBot="1" x14ac:dyDescent="0.3">
      <c r="A266" s="6" t="s">
        <v>98</v>
      </c>
      <c r="B266" s="6"/>
      <c r="C266" s="6" t="s">
        <v>189</v>
      </c>
      <c r="D266" s="11">
        <v>4834</v>
      </c>
      <c r="E266" s="32"/>
      <c r="F266" s="12">
        <f t="shared" si="9"/>
        <v>0</v>
      </c>
    </row>
    <row r="267" spans="1:6" ht="18" customHeight="1" thickTop="1" thickBot="1" x14ac:dyDescent="0.3">
      <c r="A267" s="6" t="s">
        <v>99</v>
      </c>
      <c r="B267" s="6"/>
      <c r="C267" s="6" t="s">
        <v>189</v>
      </c>
      <c r="D267" s="11">
        <v>4883</v>
      </c>
      <c r="E267" s="32"/>
      <c r="F267" s="12">
        <f t="shared" si="9"/>
        <v>0</v>
      </c>
    </row>
    <row r="268" spans="1:6" ht="18.600000000000001" customHeight="1" thickTop="1" thickBot="1" x14ac:dyDescent="0.3">
      <c r="A268" s="6" t="s">
        <v>100</v>
      </c>
      <c r="B268" s="6"/>
      <c r="C268" s="6" t="s">
        <v>189</v>
      </c>
      <c r="D268" s="11">
        <v>5138</v>
      </c>
      <c r="E268" s="32"/>
      <c r="F268" s="12">
        <f t="shared" si="9"/>
        <v>0</v>
      </c>
    </row>
    <row r="269" spans="1:6" ht="18.600000000000001" customHeight="1" thickTop="1" thickBot="1" x14ac:dyDescent="0.3">
      <c r="A269" s="6" t="s">
        <v>101</v>
      </c>
      <c r="B269" s="6"/>
      <c r="C269" s="6" t="s">
        <v>189</v>
      </c>
      <c r="D269" s="11">
        <v>5471</v>
      </c>
      <c r="E269" s="32"/>
      <c r="F269" s="12">
        <f t="shared" si="9"/>
        <v>0</v>
      </c>
    </row>
    <row r="270" spans="1:6" ht="18.600000000000001" customHeight="1" thickTop="1" thickBot="1" x14ac:dyDescent="0.3">
      <c r="A270" s="51" t="s">
        <v>306</v>
      </c>
      <c r="B270" s="52"/>
      <c r="C270" s="52"/>
      <c r="D270" s="52"/>
      <c r="E270" s="52"/>
      <c r="F270" s="52"/>
    </row>
    <row r="271" spans="1:6" ht="25.5" customHeight="1" thickTop="1" thickBot="1" x14ac:dyDescent="0.3">
      <c r="A271" s="6" t="s">
        <v>366</v>
      </c>
      <c r="B271" s="6"/>
      <c r="C271" s="6" t="s">
        <v>189</v>
      </c>
      <c r="D271" s="11">
        <v>8000</v>
      </c>
      <c r="E271" s="32"/>
      <c r="F271" s="12">
        <f t="shared" si="9"/>
        <v>0</v>
      </c>
    </row>
    <row r="272" spans="1:6" ht="33" customHeight="1" thickTop="1" thickBot="1" x14ac:dyDescent="0.3">
      <c r="A272" s="6" t="s">
        <v>102</v>
      </c>
      <c r="B272" s="6"/>
      <c r="C272" s="6" t="s">
        <v>189</v>
      </c>
      <c r="D272" s="11">
        <v>8000</v>
      </c>
      <c r="E272" s="32"/>
      <c r="F272" s="12">
        <f t="shared" si="9"/>
        <v>0</v>
      </c>
    </row>
    <row r="273" spans="1:6" ht="27.75" customHeight="1" thickTop="1" thickBot="1" x14ac:dyDescent="0.3">
      <c r="A273" s="6" t="s">
        <v>103</v>
      </c>
      <c r="B273" s="6"/>
      <c r="C273" s="6" t="s">
        <v>189</v>
      </c>
      <c r="D273" s="11">
        <v>8000</v>
      </c>
      <c r="E273" s="32"/>
      <c r="F273" s="12">
        <f t="shared" si="9"/>
        <v>0</v>
      </c>
    </row>
    <row r="274" spans="1:6" ht="23.25" customHeight="1" thickTop="1" thickBot="1" x14ac:dyDescent="0.3">
      <c r="A274" s="6" t="s">
        <v>104</v>
      </c>
      <c r="B274" s="6"/>
      <c r="C274" s="6" t="s">
        <v>189</v>
      </c>
      <c r="D274" s="11">
        <v>8000</v>
      </c>
      <c r="E274" s="32"/>
      <c r="F274" s="12">
        <f t="shared" si="9"/>
        <v>0</v>
      </c>
    </row>
    <row r="275" spans="1:6" ht="27" customHeight="1" thickTop="1" thickBot="1" x14ac:dyDescent="0.3">
      <c r="A275" s="6" t="s">
        <v>105</v>
      </c>
      <c r="B275" s="6"/>
      <c r="C275" s="6" t="s">
        <v>189</v>
      </c>
      <c r="D275" s="11">
        <v>8000</v>
      </c>
      <c r="E275" s="32"/>
      <c r="F275" s="12">
        <f t="shared" si="9"/>
        <v>0</v>
      </c>
    </row>
    <row r="276" spans="1:6" ht="23.25" customHeight="1" thickTop="1" thickBot="1" x14ac:dyDescent="0.3">
      <c r="A276" s="6" t="s">
        <v>106</v>
      </c>
      <c r="B276" s="6"/>
      <c r="C276" s="6" t="s">
        <v>189</v>
      </c>
      <c r="D276" s="11">
        <v>8000</v>
      </c>
      <c r="E276" s="32"/>
      <c r="F276" s="12">
        <f t="shared" si="9"/>
        <v>0</v>
      </c>
    </row>
    <row r="277" spans="1:6" ht="22.5" customHeight="1" thickTop="1" thickBot="1" x14ac:dyDescent="0.3">
      <c r="A277" s="6" t="s">
        <v>107</v>
      </c>
      <c r="B277" s="6"/>
      <c r="C277" s="6" t="s">
        <v>189</v>
      </c>
      <c r="D277" s="11">
        <v>8200</v>
      </c>
      <c r="E277" s="32"/>
      <c r="F277" s="12">
        <f t="shared" si="9"/>
        <v>0</v>
      </c>
    </row>
    <row r="278" spans="1:6" ht="22.5" thickTop="1" thickBot="1" x14ac:dyDescent="0.3">
      <c r="A278" s="63" t="s">
        <v>51</v>
      </c>
      <c r="B278" s="64"/>
      <c r="C278" s="64"/>
      <c r="D278" s="64"/>
      <c r="E278" s="64"/>
      <c r="F278" s="65"/>
    </row>
    <row r="279" spans="1:6" ht="22.5" thickTop="1" thickBot="1" x14ac:dyDescent="0.3">
      <c r="A279" s="51" t="s">
        <v>369</v>
      </c>
      <c r="B279" s="52"/>
      <c r="C279" s="52"/>
      <c r="D279" s="52"/>
      <c r="E279" s="52"/>
      <c r="F279" s="52"/>
    </row>
    <row r="280" spans="1:6" ht="39" thickTop="1" thickBot="1" x14ac:dyDescent="0.3">
      <c r="A280" s="6" t="s">
        <v>368</v>
      </c>
      <c r="B280" s="6"/>
      <c r="C280" s="6" t="s">
        <v>189</v>
      </c>
      <c r="D280" s="11">
        <v>550</v>
      </c>
      <c r="E280" s="32"/>
      <c r="F280" s="12">
        <f>D280*E280</f>
        <v>0</v>
      </c>
    </row>
    <row r="281" spans="1:6" ht="20.25" thickTop="1" thickBot="1" x14ac:dyDescent="0.3">
      <c r="A281" s="6" t="s">
        <v>149</v>
      </c>
      <c r="B281" s="6"/>
      <c r="C281" s="6" t="s">
        <v>189</v>
      </c>
      <c r="D281" s="11">
        <v>825</v>
      </c>
      <c r="E281" s="32">
        <v>0</v>
      </c>
      <c r="F281" s="12">
        <f t="shared" si="9"/>
        <v>0</v>
      </c>
    </row>
    <row r="282" spans="1:6" ht="20.25" thickTop="1" thickBot="1" x14ac:dyDescent="0.3">
      <c r="A282" s="6" t="s">
        <v>151</v>
      </c>
      <c r="B282" s="6"/>
      <c r="C282" s="6" t="s">
        <v>189</v>
      </c>
      <c r="D282" s="11">
        <v>880</v>
      </c>
      <c r="E282" s="32">
        <v>3</v>
      </c>
      <c r="F282" s="12">
        <f t="shared" si="9"/>
        <v>2640</v>
      </c>
    </row>
    <row r="283" spans="1:6" ht="20.25" thickTop="1" thickBot="1" x14ac:dyDescent="0.3">
      <c r="A283" s="6" t="s">
        <v>150</v>
      </c>
      <c r="B283" s="6"/>
      <c r="C283" s="6" t="s">
        <v>189</v>
      </c>
      <c r="D283" s="11">
        <v>931</v>
      </c>
      <c r="E283" s="32"/>
      <c r="F283" s="12">
        <f t="shared" si="9"/>
        <v>0</v>
      </c>
    </row>
    <row r="284" spans="1:6" ht="20.25" thickTop="1" thickBot="1" x14ac:dyDescent="0.3">
      <c r="A284" s="6" t="s">
        <v>152</v>
      </c>
      <c r="B284" s="6"/>
      <c r="C284" s="6" t="s">
        <v>189</v>
      </c>
      <c r="D284" s="11">
        <v>980</v>
      </c>
      <c r="E284" s="32">
        <v>0</v>
      </c>
      <c r="F284" s="12">
        <f t="shared" si="9"/>
        <v>0</v>
      </c>
    </row>
    <row r="285" spans="1:6" ht="20.25" thickTop="1" thickBot="1" x14ac:dyDescent="0.3">
      <c r="A285" s="6" t="s">
        <v>153</v>
      </c>
      <c r="B285" s="6"/>
      <c r="C285" s="6" t="s">
        <v>189</v>
      </c>
      <c r="D285" s="11">
        <v>1045</v>
      </c>
      <c r="E285" s="32">
        <v>0</v>
      </c>
      <c r="F285" s="12">
        <f t="shared" si="9"/>
        <v>0</v>
      </c>
    </row>
    <row r="286" spans="1:6" ht="39" thickTop="1" thickBot="1" x14ac:dyDescent="0.3">
      <c r="A286" s="6" t="s">
        <v>367</v>
      </c>
      <c r="B286" s="6"/>
      <c r="C286" s="6" t="s">
        <v>189</v>
      </c>
      <c r="D286" s="11">
        <v>900</v>
      </c>
      <c r="E286" s="32"/>
      <c r="F286" s="12">
        <f t="shared" si="9"/>
        <v>0</v>
      </c>
    </row>
    <row r="287" spans="1:6" ht="22.5" thickTop="1" thickBot="1" x14ac:dyDescent="0.3">
      <c r="A287" s="51" t="s">
        <v>370</v>
      </c>
      <c r="B287" s="52"/>
      <c r="C287" s="52"/>
      <c r="D287" s="52"/>
      <c r="E287" s="52"/>
      <c r="F287" s="52"/>
    </row>
    <row r="288" spans="1:6" ht="20.25" thickTop="1" thickBot="1" x14ac:dyDescent="0.3">
      <c r="A288" s="6" t="s">
        <v>122</v>
      </c>
      <c r="B288" s="6"/>
      <c r="C288" s="6" t="s">
        <v>189</v>
      </c>
      <c r="D288" s="11">
        <v>849</v>
      </c>
      <c r="E288" s="32"/>
      <c r="F288" s="12">
        <f t="shared" si="9"/>
        <v>0</v>
      </c>
    </row>
    <row r="289" spans="1:6" ht="20.25" thickTop="1" thickBot="1" x14ac:dyDescent="0.3">
      <c r="A289" s="6" t="s">
        <v>123</v>
      </c>
      <c r="B289" s="6"/>
      <c r="C289" s="6" t="s">
        <v>189</v>
      </c>
      <c r="D289" s="11">
        <v>928</v>
      </c>
      <c r="E289" s="32"/>
      <c r="F289" s="12">
        <f t="shared" si="9"/>
        <v>0</v>
      </c>
    </row>
    <row r="290" spans="1:6" ht="20.25" thickTop="1" thickBot="1" x14ac:dyDescent="0.3">
      <c r="A290" s="6" t="s">
        <v>124</v>
      </c>
      <c r="B290" s="6"/>
      <c r="C290" s="6" t="s">
        <v>189</v>
      </c>
      <c r="D290" s="11">
        <v>990</v>
      </c>
      <c r="E290" s="32"/>
      <c r="F290" s="12">
        <f t="shared" si="9"/>
        <v>0</v>
      </c>
    </row>
    <row r="291" spans="1:6" ht="20.25" thickTop="1" thickBot="1" x14ac:dyDescent="0.3">
      <c r="A291" s="6" t="s">
        <v>125</v>
      </c>
      <c r="B291" s="6"/>
      <c r="C291" s="6" t="s">
        <v>189</v>
      </c>
      <c r="D291" s="11">
        <v>1050</v>
      </c>
      <c r="E291" s="32"/>
      <c r="F291" s="12">
        <f t="shared" si="9"/>
        <v>0</v>
      </c>
    </row>
    <row r="292" spans="1:6" ht="20.25" thickTop="1" thickBot="1" x14ac:dyDescent="0.3">
      <c r="A292" s="6" t="s">
        <v>126</v>
      </c>
      <c r="B292" s="6"/>
      <c r="C292" s="6" t="s">
        <v>189</v>
      </c>
      <c r="D292" s="11">
        <v>1135</v>
      </c>
      <c r="E292" s="32"/>
      <c r="F292" s="12">
        <f t="shared" si="9"/>
        <v>0</v>
      </c>
    </row>
    <row r="293" spans="1:6" ht="22.5" thickTop="1" thickBot="1" x14ac:dyDescent="0.3">
      <c r="A293" s="63" t="s">
        <v>371</v>
      </c>
      <c r="B293" s="64"/>
      <c r="C293" s="64"/>
      <c r="D293" s="64"/>
      <c r="E293" s="64"/>
      <c r="F293" s="65"/>
    </row>
    <row r="294" spans="1:6" ht="39" thickTop="1" thickBot="1" x14ac:dyDescent="0.3">
      <c r="A294" s="6" t="s">
        <v>154</v>
      </c>
      <c r="B294" s="6"/>
      <c r="C294" s="6" t="s">
        <v>189</v>
      </c>
      <c r="D294" s="11">
        <v>9526</v>
      </c>
      <c r="E294" s="28"/>
      <c r="F294" s="12">
        <f t="shared" ref="F294:F302" si="10">D294*E294</f>
        <v>0</v>
      </c>
    </row>
    <row r="295" spans="1:6" ht="39" thickTop="1" thickBot="1" x14ac:dyDescent="0.3">
      <c r="A295" s="6" t="s">
        <v>155</v>
      </c>
      <c r="B295" s="6"/>
      <c r="C295" s="6" t="s">
        <v>189</v>
      </c>
      <c r="D295" s="11">
        <v>10557</v>
      </c>
      <c r="E295" s="28"/>
      <c r="F295" s="12">
        <f t="shared" si="10"/>
        <v>0</v>
      </c>
    </row>
    <row r="296" spans="1:6" ht="20.25" thickTop="1" thickBot="1" x14ac:dyDescent="0.3">
      <c r="A296" s="3" t="s">
        <v>372</v>
      </c>
      <c r="B296" s="3"/>
      <c r="C296" s="6" t="s">
        <v>189</v>
      </c>
      <c r="D296" s="11">
        <v>6450</v>
      </c>
      <c r="E296" s="28"/>
      <c r="F296" s="12">
        <f t="shared" si="10"/>
        <v>0</v>
      </c>
    </row>
    <row r="297" spans="1:6" ht="39" thickTop="1" thickBot="1" x14ac:dyDescent="0.3">
      <c r="A297" s="6" t="s">
        <v>373</v>
      </c>
      <c r="B297" s="6"/>
      <c r="C297" s="6" t="s">
        <v>189</v>
      </c>
      <c r="D297" s="11">
        <v>7370</v>
      </c>
      <c r="E297" s="28"/>
      <c r="F297" s="12">
        <f t="shared" si="10"/>
        <v>0</v>
      </c>
    </row>
    <row r="298" spans="1:6" ht="20.25" thickTop="1" thickBot="1" x14ac:dyDescent="0.3">
      <c r="A298" s="3" t="s">
        <v>374</v>
      </c>
      <c r="B298" s="6"/>
      <c r="C298" s="6" t="s">
        <v>189</v>
      </c>
      <c r="D298" s="11">
        <v>3000</v>
      </c>
      <c r="E298" s="28"/>
      <c r="F298" s="12">
        <f t="shared" si="10"/>
        <v>0</v>
      </c>
    </row>
    <row r="299" spans="1:6" ht="20.25" thickTop="1" thickBot="1" x14ac:dyDescent="0.3">
      <c r="A299" s="3" t="s">
        <v>375</v>
      </c>
      <c r="B299" s="6"/>
      <c r="C299" s="6" t="s">
        <v>189</v>
      </c>
      <c r="D299" s="11">
        <v>3550</v>
      </c>
      <c r="E299" s="28"/>
      <c r="F299" s="12"/>
    </row>
    <row r="300" spans="1:6" ht="20.25" thickTop="1" thickBot="1" x14ac:dyDescent="0.3">
      <c r="A300" s="6" t="s">
        <v>156</v>
      </c>
      <c r="B300" s="6"/>
      <c r="C300" s="6" t="s">
        <v>260</v>
      </c>
      <c r="D300" s="11">
        <v>4929</v>
      </c>
      <c r="E300" s="28"/>
      <c r="F300" s="12">
        <f t="shared" si="10"/>
        <v>0</v>
      </c>
    </row>
    <row r="301" spans="1:6" ht="20.25" thickTop="1" thickBot="1" x14ac:dyDescent="0.3">
      <c r="A301" s="6" t="s">
        <v>157</v>
      </c>
      <c r="B301" s="6"/>
      <c r="C301" s="6" t="s">
        <v>260</v>
      </c>
      <c r="D301" s="11">
        <v>5380</v>
      </c>
      <c r="E301" s="28"/>
      <c r="F301" s="12">
        <f t="shared" si="10"/>
        <v>0</v>
      </c>
    </row>
    <row r="302" spans="1:6" ht="20.25" thickTop="1" thickBot="1" x14ac:dyDescent="0.3">
      <c r="A302" s="6" t="s">
        <v>158</v>
      </c>
      <c r="B302" s="6"/>
      <c r="C302" s="6" t="s">
        <v>260</v>
      </c>
      <c r="D302" s="11">
        <v>7208</v>
      </c>
      <c r="E302" s="28"/>
      <c r="F302" s="12">
        <f t="shared" si="10"/>
        <v>0</v>
      </c>
    </row>
    <row r="303" spans="1:6" ht="22.5" thickTop="1" thickBot="1" x14ac:dyDescent="0.3">
      <c r="A303" s="58" t="s">
        <v>52</v>
      </c>
      <c r="B303" s="59"/>
      <c r="C303" s="59"/>
      <c r="D303" s="59"/>
      <c r="E303" s="59"/>
      <c r="F303" s="60"/>
    </row>
    <row r="304" spans="1:6" ht="20.25" thickTop="1" thickBot="1" x14ac:dyDescent="0.3">
      <c r="A304" s="6" t="s">
        <v>175</v>
      </c>
      <c r="B304" s="6"/>
      <c r="C304" s="6" t="s">
        <v>189</v>
      </c>
      <c r="D304" s="11">
        <v>1835</v>
      </c>
      <c r="E304" s="14"/>
      <c r="F304" s="12">
        <f t="shared" ref="F304:F312" si="11">D304*E304</f>
        <v>0</v>
      </c>
    </row>
    <row r="305" spans="1:6" ht="20.25" thickTop="1" thickBot="1" x14ac:dyDescent="0.3">
      <c r="A305" s="6" t="s">
        <v>173</v>
      </c>
      <c r="B305" s="6"/>
      <c r="C305" s="6" t="s">
        <v>189</v>
      </c>
      <c r="D305" s="11">
        <v>1860</v>
      </c>
      <c r="E305" s="14">
        <v>0</v>
      </c>
      <c r="F305" s="12">
        <f t="shared" si="11"/>
        <v>0</v>
      </c>
    </row>
    <row r="306" spans="1:6" ht="20.25" thickTop="1" thickBot="1" x14ac:dyDescent="0.3">
      <c r="A306" s="6" t="s">
        <v>174</v>
      </c>
      <c r="B306" s="6"/>
      <c r="C306" s="6" t="s">
        <v>189</v>
      </c>
      <c r="D306" s="11">
        <v>3550</v>
      </c>
      <c r="E306" s="14"/>
      <c r="F306" s="12">
        <f t="shared" si="11"/>
        <v>0</v>
      </c>
    </row>
    <row r="307" spans="1:6" ht="20.25" thickTop="1" thickBot="1" x14ac:dyDescent="0.3">
      <c r="A307" s="6" t="s">
        <v>172</v>
      </c>
      <c r="B307" s="6"/>
      <c r="C307" s="6" t="s">
        <v>189</v>
      </c>
      <c r="D307" s="11">
        <v>769</v>
      </c>
      <c r="E307" s="14"/>
      <c r="F307" s="12">
        <f t="shared" si="11"/>
        <v>0</v>
      </c>
    </row>
    <row r="308" spans="1:6" ht="20.25" thickTop="1" thickBot="1" x14ac:dyDescent="0.3">
      <c r="A308" s="6" t="s">
        <v>171</v>
      </c>
      <c r="B308" s="6"/>
      <c r="C308" s="6" t="s">
        <v>189</v>
      </c>
      <c r="D308" s="11">
        <v>1500</v>
      </c>
      <c r="E308" s="14">
        <v>0</v>
      </c>
      <c r="F308" s="12">
        <f>D308*E308</f>
        <v>0</v>
      </c>
    </row>
    <row r="309" spans="1:6" ht="39" thickTop="1" thickBot="1" x14ac:dyDescent="0.3">
      <c r="A309" s="6" t="s">
        <v>376</v>
      </c>
      <c r="B309" s="6"/>
      <c r="C309" s="6" t="s">
        <v>189</v>
      </c>
      <c r="D309" s="11"/>
      <c r="E309" s="14"/>
      <c r="F309" s="12"/>
    </row>
    <row r="310" spans="1:6" ht="39" thickTop="1" thickBot="1" x14ac:dyDescent="0.3">
      <c r="A310" s="6" t="s">
        <v>377</v>
      </c>
      <c r="B310" s="6"/>
      <c r="C310" s="6" t="s">
        <v>189</v>
      </c>
      <c r="D310" s="11"/>
      <c r="E310" s="14"/>
      <c r="F310" s="12"/>
    </row>
    <row r="311" spans="1:6" ht="39" thickTop="1" thickBot="1" x14ac:dyDescent="0.3">
      <c r="A311" s="6" t="s">
        <v>378</v>
      </c>
      <c r="B311" s="6"/>
      <c r="C311" s="6" t="s">
        <v>189</v>
      </c>
      <c r="D311" s="11"/>
      <c r="E311" s="14"/>
      <c r="F311" s="12"/>
    </row>
    <row r="312" spans="1:6" ht="39" thickTop="1" thickBot="1" x14ac:dyDescent="0.3">
      <c r="A312" s="6" t="s">
        <v>379</v>
      </c>
      <c r="B312" s="6"/>
      <c r="C312" s="6" t="s">
        <v>189</v>
      </c>
      <c r="D312" s="11">
        <v>1318</v>
      </c>
      <c r="E312" s="14"/>
      <c r="F312" s="12">
        <f t="shared" si="11"/>
        <v>0</v>
      </c>
    </row>
    <row r="313" spans="1:6" ht="22.5" thickTop="1" thickBot="1" x14ac:dyDescent="0.3">
      <c r="A313" s="58" t="s">
        <v>309</v>
      </c>
      <c r="B313" s="59"/>
      <c r="C313" s="59"/>
      <c r="D313" s="59"/>
      <c r="E313" s="59"/>
      <c r="F313" s="60"/>
    </row>
    <row r="314" spans="1:6" ht="20.25" thickTop="1" thickBot="1" x14ac:dyDescent="0.3">
      <c r="A314" s="6" t="s">
        <v>159</v>
      </c>
      <c r="B314" s="6"/>
      <c r="C314" s="6"/>
      <c r="D314" s="11">
        <v>4250</v>
      </c>
      <c r="E314" s="28"/>
      <c r="F314" s="12">
        <f>D314*E314</f>
        <v>0</v>
      </c>
    </row>
    <row r="315" spans="1:6" ht="20.25" thickTop="1" thickBot="1" x14ac:dyDescent="0.3">
      <c r="A315" s="6" t="s">
        <v>160</v>
      </c>
      <c r="B315" s="6"/>
      <c r="C315" s="6"/>
      <c r="D315" s="11">
        <v>2000</v>
      </c>
      <c r="E315" s="28"/>
      <c r="F315" s="12">
        <f>D315*E315</f>
        <v>0</v>
      </c>
    </row>
    <row r="316" spans="1:6" ht="39" thickTop="1" thickBot="1" x14ac:dyDescent="0.3">
      <c r="A316" s="6" t="s">
        <v>170</v>
      </c>
      <c r="B316" s="6"/>
      <c r="C316" s="6"/>
      <c r="D316" s="11"/>
      <c r="E316" s="28"/>
      <c r="F316" s="12">
        <f>D316*E316</f>
        <v>0</v>
      </c>
    </row>
    <row r="317" spans="1:6" ht="20.25" thickTop="1" thickBot="1" x14ac:dyDescent="0.3">
      <c r="A317" s="6" t="s">
        <v>161</v>
      </c>
      <c r="B317" s="6"/>
      <c r="C317" s="6"/>
      <c r="D317" s="11">
        <v>2230</v>
      </c>
      <c r="E317" s="28"/>
      <c r="F317" s="12">
        <f>D317*E317</f>
        <v>0</v>
      </c>
    </row>
    <row r="318" spans="1:6" ht="22.5" thickTop="1" thickBot="1" x14ac:dyDescent="0.3">
      <c r="A318" s="63" t="s">
        <v>38</v>
      </c>
      <c r="B318" s="64"/>
      <c r="C318" s="64"/>
      <c r="D318" s="64"/>
      <c r="E318" s="64"/>
      <c r="F318" s="65"/>
    </row>
    <row r="319" spans="1:6" ht="39" thickTop="1" thickBot="1" x14ac:dyDescent="0.3">
      <c r="A319" s="6" t="s">
        <v>146</v>
      </c>
      <c r="B319" s="6"/>
      <c r="C319" s="6"/>
      <c r="D319" s="11">
        <v>13930</v>
      </c>
      <c r="E319" s="28"/>
      <c r="F319" s="12">
        <f>D319*E319</f>
        <v>0</v>
      </c>
    </row>
    <row r="320" spans="1:6" ht="39" thickTop="1" thickBot="1" x14ac:dyDescent="0.3">
      <c r="A320" s="6" t="s">
        <v>147</v>
      </c>
      <c r="B320" s="6"/>
      <c r="C320" s="6"/>
      <c r="D320" s="11">
        <v>6441</v>
      </c>
      <c r="E320" s="28"/>
      <c r="F320" s="12">
        <f>D320*E320</f>
        <v>0</v>
      </c>
    </row>
    <row r="321" spans="1:6" ht="39" thickTop="1" thickBot="1" x14ac:dyDescent="0.3">
      <c r="A321" s="6" t="s">
        <v>148</v>
      </c>
      <c r="B321" s="6"/>
      <c r="C321" s="6"/>
      <c r="D321" s="11">
        <v>9548</v>
      </c>
      <c r="E321" s="28"/>
      <c r="F321" s="12">
        <f>D321*E321</f>
        <v>0</v>
      </c>
    </row>
    <row r="322" spans="1:6" ht="22.5" thickTop="1" thickBot="1" x14ac:dyDescent="0.3">
      <c r="A322" s="58" t="s">
        <v>53</v>
      </c>
      <c r="B322" s="59"/>
      <c r="C322" s="59"/>
      <c r="D322" s="59"/>
      <c r="E322" s="59"/>
      <c r="F322" s="59"/>
    </row>
    <row r="323" spans="1:6" ht="20.25" thickTop="1" thickBot="1" x14ac:dyDescent="0.3">
      <c r="A323" s="6" t="s">
        <v>176</v>
      </c>
      <c r="B323" s="6"/>
      <c r="C323" s="6"/>
      <c r="D323" s="11">
        <v>1651</v>
      </c>
      <c r="E323" s="14">
        <v>0</v>
      </c>
      <c r="F323" s="12">
        <f>D323*E323</f>
        <v>0</v>
      </c>
    </row>
    <row r="324" spans="1:6" ht="20.25" thickTop="1" thickBot="1" x14ac:dyDescent="0.3">
      <c r="A324" s="6" t="s">
        <v>177</v>
      </c>
      <c r="B324" s="6"/>
      <c r="C324" s="6"/>
      <c r="D324" s="11">
        <v>1820</v>
      </c>
      <c r="E324" s="14">
        <v>0</v>
      </c>
      <c r="F324" s="12">
        <f>D324*E324</f>
        <v>0</v>
      </c>
    </row>
    <row r="325" spans="1:6" ht="20.25" thickTop="1" thickBot="1" x14ac:dyDescent="0.3">
      <c r="A325" s="6" t="s">
        <v>178</v>
      </c>
      <c r="B325" s="6"/>
      <c r="C325" s="6"/>
      <c r="D325" s="11">
        <v>1171</v>
      </c>
      <c r="E325" s="14">
        <v>0</v>
      </c>
      <c r="F325" s="12">
        <f>D325*E325</f>
        <v>0</v>
      </c>
    </row>
    <row r="326" spans="1:6" ht="20.25" thickTop="1" thickBot="1" x14ac:dyDescent="0.3">
      <c r="A326" s="6" t="s">
        <v>179</v>
      </c>
      <c r="B326" s="6"/>
      <c r="C326" s="6"/>
      <c r="D326" s="11">
        <v>1555</v>
      </c>
      <c r="E326" s="14">
        <v>0</v>
      </c>
      <c r="F326" s="12">
        <f>D326*E326</f>
        <v>0</v>
      </c>
    </row>
    <row r="327" spans="1:6" ht="22.5" thickTop="1" thickBot="1" x14ac:dyDescent="0.3">
      <c r="A327" s="58" t="s">
        <v>320</v>
      </c>
      <c r="B327" s="59"/>
      <c r="C327" s="59"/>
      <c r="D327" s="59"/>
      <c r="E327" s="59"/>
      <c r="F327" s="60"/>
    </row>
    <row r="328" spans="1:6" ht="20.25" thickTop="1" thickBot="1" x14ac:dyDescent="0.3">
      <c r="A328" s="6" t="s">
        <v>142</v>
      </c>
      <c r="B328" s="6"/>
      <c r="C328" s="6"/>
      <c r="D328" s="11">
        <v>2599</v>
      </c>
      <c r="E328" s="15"/>
      <c r="F328" s="12">
        <f t="shared" ref="F328:F337" si="12">D328*E328</f>
        <v>0</v>
      </c>
    </row>
    <row r="329" spans="1:6" ht="39" thickTop="1" thickBot="1" x14ac:dyDescent="0.3">
      <c r="A329" s="6" t="s">
        <v>143</v>
      </c>
      <c r="B329" s="6"/>
      <c r="C329" s="6"/>
      <c r="D329" s="11">
        <v>226</v>
      </c>
      <c r="E329" s="15"/>
      <c r="F329" s="12">
        <f t="shared" si="12"/>
        <v>0</v>
      </c>
    </row>
    <row r="330" spans="1:6" ht="20.25" thickTop="1" thickBot="1" x14ac:dyDescent="0.3">
      <c r="A330" s="6" t="s">
        <v>144</v>
      </c>
      <c r="B330" s="6"/>
      <c r="C330" s="6"/>
      <c r="D330" s="11">
        <v>407</v>
      </c>
      <c r="E330" s="15"/>
      <c r="F330" s="12">
        <f t="shared" si="12"/>
        <v>0</v>
      </c>
    </row>
    <row r="331" spans="1:6" ht="20.25" thickTop="1" thickBot="1" x14ac:dyDescent="0.3">
      <c r="A331" s="6" t="s">
        <v>145</v>
      </c>
      <c r="B331" s="6"/>
      <c r="C331" s="6"/>
      <c r="D331" s="11">
        <v>17</v>
      </c>
      <c r="E331" s="15"/>
      <c r="F331" s="12">
        <f t="shared" si="12"/>
        <v>0</v>
      </c>
    </row>
    <row r="332" spans="1:6" ht="20.25" thickTop="1" thickBot="1" x14ac:dyDescent="0.3">
      <c r="A332" s="6" t="s">
        <v>380</v>
      </c>
      <c r="B332" s="6"/>
      <c r="C332" s="6"/>
      <c r="D332" s="11">
        <v>1000</v>
      </c>
      <c r="E332" s="15">
        <v>0</v>
      </c>
      <c r="F332" s="12">
        <f t="shared" si="12"/>
        <v>0</v>
      </c>
    </row>
    <row r="333" spans="1:6" ht="22.5" thickTop="1" thickBot="1" x14ac:dyDescent="0.3">
      <c r="A333" s="58" t="s">
        <v>39</v>
      </c>
      <c r="B333" s="59"/>
      <c r="C333" s="59"/>
      <c r="D333" s="59"/>
      <c r="E333" s="59"/>
      <c r="F333" s="60"/>
    </row>
    <row r="334" spans="1:6" ht="39" thickTop="1" thickBot="1" x14ac:dyDescent="0.3">
      <c r="A334" s="6" t="s">
        <v>138</v>
      </c>
      <c r="B334" s="6"/>
      <c r="C334" s="6"/>
      <c r="D334" s="11">
        <v>1200</v>
      </c>
      <c r="E334" s="14">
        <v>0</v>
      </c>
      <c r="F334" s="12">
        <f t="shared" si="12"/>
        <v>0</v>
      </c>
    </row>
    <row r="335" spans="1:6" ht="20.25" thickTop="1" thickBot="1" x14ac:dyDescent="0.3">
      <c r="A335" s="6" t="s">
        <v>381</v>
      </c>
      <c r="B335" s="6"/>
      <c r="C335" s="6"/>
      <c r="D335" s="11">
        <v>550</v>
      </c>
      <c r="E335" s="14">
        <v>3</v>
      </c>
      <c r="F335" s="12">
        <f t="shared" si="12"/>
        <v>1650</v>
      </c>
    </row>
    <row r="336" spans="1:6" ht="39" thickTop="1" thickBot="1" x14ac:dyDescent="0.3">
      <c r="A336" s="6" t="s">
        <v>137</v>
      </c>
      <c r="B336" s="6"/>
      <c r="C336" s="6"/>
      <c r="D336" s="11">
        <v>3500</v>
      </c>
      <c r="E336" s="14">
        <v>0</v>
      </c>
      <c r="F336" s="12">
        <f t="shared" si="12"/>
        <v>0</v>
      </c>
    </row>
    <row r="337" spans="1:6" ht="20.25" thickTop="1" thickBot="1" x14ac:dyDescent="0.3">
      <c r="A337" s="6" t="s">
        <v>139</v>
      </c>
      <c r="B337" s="6"/>
      <c r="C337" s="6"/>
      <c r="D337" s="11">
        <v>2060</v>
      </c>
      <c r="E337" s="14">
        <v>0</v>
      </c>
      <c r="F337" s="12">
        <f t="shared" si="12"/>
        <v>0</v>
      </c>
    </row>
    <row r="338" spans="1:6" ht="22.5" thickTop="1" thickBot="1" x14ac:dyDescent="0.3">
      <c r="A338" s="58" t="s">
        <v>62</v>
      </c>
      <c r="B338" s="59"/>
      <c r="C338" s="59"/>
      <c r="D338" s="59"/>
      <c r="E338" s="59"/>
      <c r="F338" s="59"/>
    </row>
    <row r="339" spans="1:6" ht="20.25" thickTop="1" thickBot="1" x14ac:dyDescent="0.3">
      <c r="A339" s="6" t="s">
        <v>316</v>
      </c>
      <c r="B339" s="6"/>
      <c r="C339" s="6"/>
      <c r="D339" s="11">
        <v>10000</v>
      </c>
      <c r="E339" s="14"/>
      <c r="F339" s="13">
        <f>D339*E339</f>
        <v>0</v>
      </c>
    </row>
    <row r="340" spans="1:6" ht="24.75" thickTop="1" thickBot="1" x14ac:dyDescent="0.3">
      <c r="A340" s="68" t="s">
        <v>36</v>
      </c>
      <c r="B340" s="69"/>
      <c r="C340" s="69"/>
      <c r="D340" s="69"/>
      <c r="E340" s="69"/>
      <c r="F340" s="70"/>
    </row>
    <row r="341" spans="1:6" ht="33.75" customHeight="1" thickTop="1" thickBot="1" x14ac:dyDescent="0.3">
      <c r="A341" s="35"/>
      <c r="B341" s="36"/>
      <c r="C341" s="37"/>
      <c r="D341" s="3" t="s">
        <v>30</v>
      </c>
      <c r="E341" s="7">
        <f>F339+F337+F336+F335+F334+F332+F331+F330+F329+F328+F326+F325+F324+F323+F321+F320+F319+F317+F316+F315+F314+F312+F311+F310+F309+F308+F307+F306+F305+F304+F302+F301+F300+F299+F298+F297+F296+F295+F294+F292+F291+F290+F289+F288+F286+F285+F284+F283+F282+F281+F280+F277+F276+F275+F274+F273+F272+F271+F269+F268+F267+F266+F265+F264+F263+F262+F260+F259+F258+F257+F256+F255+F254+F253+F251+F250+F249+F248+F247+F246+F245+F242+F241+F240+F239+F237+F236+F235+F234+F233+F230+F229+F228+F227+F226+F225+F223+F222+F221+F220+F219+F218+F216+F215+F214+F213+F211+F210+F209+F208+F207+F204+F203+F202+F201+F199+F198+F197+F196+F195+F193+F192+F191+F189+F188+F187+F186+F184+F183+F182+F181+F180+F178+F177+F176+F175+F174+F173+F172+F171+F170+F168+F167+F166+F165+F164+F163+F162+F161+F160+F158+F157+F156+F155+F154+F153+F152+F151+F149+F148+F147+F146+F145+F144+F143+F140+F139+F138+F137+F136+F135+F133+F131+F130+F129+F128+F127+F126+F125+F124+F123+F121+F120+F119+F118+F117+F116+F115+F113+F112+F111+F110+F108+F107+F106+F105+F104+F103+F102+F101+F100+F99+F98+F97+F96+F95+F94+F93+F92+F91+F90+F89+F88+F87+F86+F85+F84+F80+F79+F78+F77+F76+F75+F73+F72+F71+F70+F69+F67+F66+F64++F63+F65+F61+F60+F59+F58+F57+F55+F54+F53+F52+F50+F49+F48+F47+F46+F45+F44+F43+F42+F40+F39+F38+F37+F36+F35+F34+F33+F32+F31+F30+F29+F28+F25+F23+F22+F21+F20+F19+F18+F17+F16+F15+F14+F13+F12+F10+F9+F8+F7+F6+F5+F4+F3</f>
        <v>19640</v>
      </c>
      <c r="F341" s="7"/>
    </row>
    <row r="342" spans="1:6" ht="27" customHeight="1" thickTop="1" thickBot="1" x14ac:dyDescent="0.3">
      <c r="A342" s="38"/>
      <c r="B342" s="39"/>
      <c r="C342" s="40"/>
      <c r="D342" s="3" t="s">
        <v>29</v>
      </c>
      <c r="E342" s="7">
        <f>ROUNDUP((0.8*E341),0)</f>
        <v>15712</v>
      </c>
      <c r="F342" s="7"/>
    </row>
    <row r="343" spans="1:6" ht="28.5" customHeight="1" thickTop="1" thickBot="1" x14ac:dyDescent="0.3">
      <c r="A343" s="38"/>
      <c r="B343" s="39"/>
      <c r="C343" s="40"/>
      <c r="D343" s="3" t="s">
        <v>9</v>
      </c>
      <c r="E343" s="7">
        <f>ROUNDUP((0.55*E341),0)</f>
        <v>10802</v>
      </c>
      <c r="F343" s="7"/>
    </row>
    <row r="344" spans="1:6" ht="24.75" customHeight="1" thickTop="1" thickBot="1" x14ac:dyDescent="0.3">
      <c r="A344" s="38"/>
      <c r="B344" s="39"/>
      <c r="C344" s="40"/>
      <c r="D344" s="3" t="s">
        <v>31</v>
      </c>
      <c r="E344" s="7">
        <v>2500</v>
      </c>
      <c r="F344" s="7">
        <f>E344</f>
        <v>2500</v>
      </c>
    </row>
    <row r="345" spans="1:6" ht="19.5" customHeight="1" thickTop="1" thickBot="1" x14ac:dyDescent="0.3">
      <c r="A345" s="38"/>
      <c r="B345" s="39"/>
      <c r="C345" s="40"/>
      <c r="D345" s="3" t="s">
        <v>10</v>
      </c>
      <c r="E345" s="7">
        <v>6500</v>
      </c>
      <c r="F345" s="7">
        <v>10000</v>
      </c>
    </row>
    <row r="346" spans="1:6" ht="31.5" customHeight="1" thickTop="1" thickBot="1" x14ac:dyDescent="0.3">
      <c r="A346" s="38"/>
      <c r="B346" s="39"/>
      <c r="C346" s="40"/>
      <c r="D346" s="3" t="s">
        <v>32</v>
      </c>
      <c r="E346" s="7">
        <f>ROUNDUP((0.08*E341),0)</f>
        <v>1572</v>
      </c>
      <c r="F346" s="7"/>
    </row>
    <row r="347" spans="1:6" ht="29.25" customHeight="1" thickTop="1" thickBot="1" x14ac:dyDescent="0.3">
      <c r="A347" s="38"/>
      <c r="B347" s="39"/>
      <c r="C347" s="40"/>
      <c r="D347" s="3" t="s">
        <v>33</v>
      </c>
      <c r="E347" s="7">
        <f>ROUNDUP((E341*0.05),0)</f>
        <v>982</v>
      </c>
      <c r="F347" s="7"/>
    </row>
    <row r="348" spans="1:6" ht="36" customHeight="1" thickTop="1" thickBot="1" x14ac:dyDescent="0.3">
      <c r="A348" s="38"/>
      <c r="B348" s="39"/>
      <c r="C348" s="40"/>
      <c r="D348" s="16" t="s">
        <v>35</v>
      </c>
      <c r="E348" s="71">
        <f>ROUNDUP((SUM(E341:E347)),0)</f>
        <v>57708</v>
      </c>
      <c r="F348" s="72"/>
    </row>
    <row r="349" spans="1:6" ht="29.25" customHeight="1" thickTop="1" thickBot="1" x14ac:dyDescent="0.3">
      <c r="A349" s="38"/>
      <c r="B349" s="39"/>
      <c r="C349" s="40"/>
      <c r="D349" s="3" t="s">
        <v>34</v>
      </c>
      <c r="E349" s="73">
        <f>ROUNDUP((0.3*E348),0)</f>
        <v>17313</v>
      </c>
      <c r="F349" s="74"/>
    </row>
    <row r="350" spans="1:6" ht="34.5" customHeight="1" thickTop="1" thickBot="1" x14ac:dyDescent="0.3">
      <c r="A350" s="38"/>
      <c r="B350" s="39"/>
      <c r="C350" s="40"/>
      <c r="D350" s="16" t="s">
        <v>35</v>
      </c>
      <c r="E350" s="71">
        <f>ROUND((E349+E348),0)</f>
        <v>75021</v>
      </c>
      <c r="F350" s="72"/>
    </row>
    <row r="351" spans="1:6" ht="27" customHeight="1" thickTop="1" thickBot="1" x14ac:dyDescent="0.3">
      <c r="A351" s="38"/>
      <c r="B351" s="39"/>
      <c r="C351" s="40"/>
      <c r="D351" s="4" t="s">
        <v>27</v>
      </c>
      <c r="E351" s="73">
        <f>ROUNDUP((E350*0.3)*0.05,0)</f>
        <v>1126</v>
      </c>
      <c r="F351" s="74"/>
    </row>
    <row r="352" spans="1:6" ht="29.25" customHeight="1" thickTop="1" thickBot="1" x14ac:dyDescent="0.3">
      <c r="A352" s="38"/>
      <c r="B352" s="39"/>
      <c r="C352" s="40"/>
      <c r="D352" s="4" t="s">
        <v>12</v>
      </c>
      <c r="E352" s="73">
        <v>0</v>
      </c>
      <c r="F352" s="74"/>
    </row>
    <row r="353" spans="1:6" ht="20.25" thickTop="1" thickBot="1" x14ac:dyDescent="0.3">
      <c r="A353" s="38"/>
      <c r="B353" s="39"/>
      <c r="C353" s="40"/>
      <c r="D353" s="16" t="s">
        <v>318</v>
      </c>
      <c r="E353" s="71">
        <f>ROUNDUP((E350+E351+E352),0)</f>
        <v>76147</v>
      </c>
      <c r="F353" s="72"/>
    </row>
    <row r="354" spans="1:6" ht="32.25" customHeight="1" thickTop="1" thickBot="1" x14ac:dyDescent="0.3">
      <c r="A354" s="41"/>
      <c r="B354" s="42"/>
      <c r="C354" s="43"/>
      <c r="D354" s="29" t="s">
        <v>317</v>
      </c>
      <c r="E354" s="66">
        <f>E353*1.13</f>
        <v>86046.109999999986</v>
      </c>
      <c r="F354" s="67"/>
    </row>
    <row r="355" spans="1:6" ht="15.75" thickTop="1" x14ac:dyDescent="0.25">
      <c r="F355" s="34"/>
    </row>
  </sheetData>
  <mergeCells count="60">
    <mergeCell ref="A41:F41"/>
    <mergeCell ref="A2:F2"/>
    <mergeCell ref="A11:F11"/>
    <mergeCell ref="A24:F24"/>
    <mergeCell ref="A26:F26"/>
    <mergeCell ref="A27:F27"/>
    <mergeCell ref="A114:F114"/>
    <mergeCell ref="A51:F51"/>
    <mergeCell ref="A56:F56"/>
    <mergeCell ref="A62:F62"/>
    <mergeCell ref="A68:F68"/>
    <mergeCell ref="A74:F74"/>
    <mergeCell ref="A81:F81"/>
    <mergeCell ref="A82:F82"/>
    <mergeCell ref="A109:F109"/>
    <mergeCell ref="A194:F194"/>
    <mergeCell ref="A122:F122"/>
    <mergeCell ref="A132:F132"/>
    <mergeCell ref="A134:F134"/>
    <mergeCell ref="A141:F141"/>
    <mergeCell ref="A142:F142"/>
    <mergeCell ref="A150:F150"/>
    <mergeCell ref="A159:F159"/>
    <mergeCell ref="A169:F169"/>
    <mergeCell ref="A179:F179"/>
    <mergeCell ref="A185:F185"/>
    <mergeCell ref="A190:F190"/>
    <mergeCell ref="A252:F252"/>
    <mergeCell ref="A200:F200"/>
    <mergeCell ref="A205:F205"/>
    <mergeCell ref="A206:F206"/>
    <mergeCell ref="A212:F212"/>
    <mergeCell ref="A217:F217"/>
    <mergeCell ref="A224:F224"/>
    <mergeCell ref="A231:F231"/>
    <mergeCell ref="A232:F232"/>
    <mergeCell ref="A238:F238"/>
    <mergeCell ref="A243:F243"/>
    <mergeCell ref="A244:F244"/>
    <mergeCell ref="A333:F333"/>
    <mergeCell ref="A261:F261"/>
    <mergeCell ref="A270:F270"/>
    <mergeCell ref="A278:F278"/>
    <mergeCell ref="A279:F279"/>
    <mergeCell ref="A287:F287"/>
    <mergeCell ref="A293:F293"/>
    <mergeCell ref="A303:F303"/>
    <mergeCell ref="A313:F313"/>
    <mergeCell ref="A318:F318"/>
    <mergeCell ref="A322:F322"/>
    <mergeCell ref="A327:F327"/>
    <mergeCell ref="E354:F354"/>
    <mergeCell ref="A338:F338"/>
    <mergeCell ref="A340:F340"/>
    <mergeCell ref="E348:F348"/>
    <mergeCell ref="E349:F349"/>
    <mergeCell ref="E350:F350"/>
    <mergeCell ref="E351:F351"/>
    <mergeCell ref="E352:F352"/>
    <mergeCell ref="E353:F353"/>
  </mergeCells>
  <pageMargins left="0.7" right="0.7" top="0.75" bottom="0.75" header="0.3" footer="0.3"/>
  <pageSetup paperSize="9"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"/>
  <sheetViews>
    <sheetView zoomScale="70" zoomScaleNormal="70" workbookViewId="0">
      <pane ySplit="1" topLeftCell="A27" activePane="bottomLeft" state="frozen"/>
      <selection pane="bottomLeft" activeCell="F34" sqref="F34"/>
    </sheetView>
  </sheetViews>
  <sheetFormatPr defaultColWidth="9.140625" defaultRowHeight="15" x14ac:dyDescent="0.25"/>
  <cols>
    <col min="1" max="1" width="62.85546875" style="1" bestFit="1" customWidth="1"/>
    <col min="2" max="2" width="32.85546875" style="1" bestFit="1" customWidth="1"/>
    <col min="3" max="3" width="17.28515625" style="1" bestFit="1" customWidth="1"/>
    <col min="4" max="4" width="25" style="1" bestFit="1" customWidth="1"/>
    <col min="5" max="8" width="9.140625" style="1"/>
    <col min="9" max="9" width="9.140625" style="10"/>
    <col min="10" max="10" width="9.140625" style="8"/>
    <col min="11" max="11" width="9.140625" style="2"/>
    <col min="12" max="16384" width="9.140625" style="1"/>
  </cols>
  <sheetData>
    <row r="1" spans="1:4" ht="22.5" thickTop="1" thickBot="1" x14ac:dyDescent="0.3">
      <c r="A1" s="19" t="s">
        <v>0</v>
      </c>
      <c r="B1" s="19" t="s">
        <v>2</v>
      </c>
      <c r="C1" s="19" t="s">
        <v>41</v>
      </c>
      <c r="D1" s="20" t="s">
        <v>3</v>
      </c>
    </row>
    <row r="2" spans="1:4" ht="24.75" thickTop="1" thickBot="1" x14ac:dyDescent="0.3">
      <c r="A2" s="78" t="s">
        <v>23</v>
      </c>
      <c r="B2" s="79"/>
      <c r="C2" s="79"/>
      <c r="D2" s="80"/>
    </row>
    <row r="3" spans="1:4" ht="20.25" thickTop="1" thickBot="1" x14ac:dyDescent="0.3">
      <c r="A3" s="3" t="s">
        <v>63</v>
      </c>
      <c r="B3" s="17">
        <v>11622</v>
      </c>
      <c r="C3" s="21"/>
      <c r="D3" s="22">
        <f>C3*B3</f>
        <v>0</v>
      </c>
    </row>
    <row r="4" spans="1:4" ht="20.25" thickTop="1" thickBot="1" x14ac:dyDescent="0.3">
      <c r="A4" s="3" t="s">
        <v>64</v>
      </c>
      <c r="B4" s="17">
        <v>22064</v>
      </c>
      <c r="C4" s="21"/>
      <c r="D4" s="22">
        <f t="shared" ref="D4:D15" si="0">C4*B4</f>
        <v>0</v>
      </c>
    </row>
    <row r="5" spans="1:4" ht="20.25" thickTop="1" thickBot="1" x14ac:dyDescent="0.3">
      <c r="A5" s="3" t="s">
        <v>65</v>
      </c>
      <c r="B5" s="17">
        <v>17891</v>
      </c>
      <c r="C5" s="21"/>
      <c r="D5" s="22">
        <f t="shared" si="0"/>
        <v>0</v>
      </c>
    </row>
    <row r="6" spans="1:4" ht="20.25" thickTop="1" thickBot="1" x14ac:dyDescent="0.3">
      <c r="A6" s="3" t="s">
        <v>66</v>
      </c>
      <c r="B6" s="17">
        <v>7289</v>
      </c>
      <c r="C6" s="21"/>
      <c r="D6" s="22">
        <f t="shared" si="0"/>
        <v>0</v>
      </c>
    </row>
    <row r="7" spans="1:4" ht="20.25" thickTop="1" thickBot="1" x14ac:dyDescent="0.3">
      <c r="A7" s="3" t="s">
        <v>67</v>
      </c>
      <c r="B7" s="17">
        <v>10289</v>
      </c>
      <c r="C7" s="21"/>
      <c r="D7" s="22">
        <f t="shared" si="0"/>
        <v>0</v>
      </c>
    </row>
    <row r="8" spans="1:4" ht="20.25" thickTop="1" thickBot="1" x14ac:dyDescent="0.3">
      <c r="A8" s="3" t="s">
        <v>5</v>
      </c>
      <c r="B8" s="17">
        <v>25852</v>
      </c>
      <c r="C8" s="21"/>
      <c r="D8" s="22">
        <f t="shared" si="0"/>
        <v>0</v>
      </c>
    </row>
    <row r="9" spans="1:4" ht="20.25" thickTop="1" thickBot="1" x14ac:dyDescent="0.3">
      <c r="A9" s="3" t="s">
        <v>68</v>
      </c>
      <c r="B9" s="17">
        <v>6364</v>
      </c>
      <c r="C9" s="23"/>
      <c r="D9" s="22">
        <f t="shared" si="0"/>
        <v>0</v>
      </c>
    </row>
    <row r="10" spans="1:4" ht="20.25" thickTop="1" thickBot="1" x14ac:dyDescent="0.3">
      <c r="A10" s="3" t="s">
        <v>6</v>
      </c>
      <c r="B10" s="17">
        <v>16093</v>
      </c>
      <c r="C10" s="23"/>
      <c r="D10" s="22">
        <f t="shared" si="0"/>
        <v>0</v>
      </c>
    </row>
    <row r="11" spans="1:4" ht="20.25" thickTop="1" thickBot="1" x14ac:dyDescent="0.3">
      <c r="A11" s="3" t="s">
        <v>69</v>
      </c>
      <c r="B11" s="17"/>
      <c r="C11" s="23"/>
      <c r="D11" s="22">
        <f>C11*B11</f>
        <v>0</v>
      </c>
    </row>
    <row r="12" spans="1:4" ht="20.25" thickTop="1" thickBot="1" x14ac:dyDescent="0.3">
      <c r="A12" s="3" t="s">
        <v>70</v>
      </c>
      <c r="B12" s="17"/>
      <c r="C12" s="23"/>
      <c r="D12" s="22">
        <f t="shared" si="0"/>
        <v>0</v>
      </c>
    </row>
    <row r="13" spans="1:4" ht="20.25" thickTop="1" thickBot="1" x14ac:dyDescent="0.3">
      <c r="A13" s="3" t="s">
        <v>71</v>
      </c>
      <c r="B13" s="17"/>
      <c r="C13" s="23"/>
      <c r="D13" s="22">
        <f t="shared" si="0"/>
        <v>0</v>
      </c>
    </row>
    <row r="14" spans="1:4" ht="20.25" thickTop="1" thickBot="1" x14ac:dyDescent="0.3">
      <c r="A14" s="3" t="s">
        <v>72</v>
      </c>
      <c r="B14" s="17"/>
      <c r="C14" s="23"/>
      <c r="D14" s="22">
        <f t="shared" si="0"/>
        <v>0</v>
      </c>
    </row>
    <row r="15" spans="1:4" ht="20.25" thickTop="1" thickBot="1" x14ac:dyDescent="0.3">
      <c r="A15" s="3" t="s">
        <v>73</v>
      </c>
      <c r="B15" s="17"/>
      <c r="C15" s="23"/>
      <c r="D15" s="22">
        <f t="shared" si="0"/>
        <v>0</v>
      </c>
    </row>
    <row r="16" spans="1:4" ht="24.75" thickTop="1" thickBot="1" x14ac:dyDescent="0.3">
      <c r="A16" s="81" t="s">
        <v>8</v>
      </c>
      <c r="B16" s="82"/>
      <c r="C16" s="82"/>
      <c r="D16" s="83"/>
    </row>
    <row r="17" spans="1:4" ht="20.25" thickTop="1" thickBot="1" x14ac:dyDescent="0.3">
      <c r="A17" s="3" t="s">
        <v>13</v>
      </c>
      <c r="B17" s="17"/>
      <c r="C17" s="23"/>
      <c r="D17" s="22">
        <f t="shared" ref="D17:D25" si="1">B17*C17</f>
        <v>0</v>
      </c>
    </row>
    <row r="18" spans="1:4" ht="20.25" thickTop="1" thickBot="1" x14ac:dyDescent="0.3">
      <c r="A18" s="3" t="s">
        <v>15</v>
      </c>
      <c r="B18" s="17"/>
      <c r="C18" s="23"/>
      <c r="D18" s="22">
        <f t="shared" si="1"/>
        <v>0</v>
      </c>
    </row>
    <row r="19" spans="1:4" ht="20.25" thickTop="1" thickBot="1" x14ac:dyDescent="0.3">
      <c r="A19" s="3" t="s">
        <v>14</v>
      </c>
      <c r="B19" s="17"/>
      <c r="C19" s="21"/>
      <c r="D19" s="22">
        <f t="shared" si="1"/>
        <v>0</v>
      </c>
    </row>
    <row r="20" spans="1:4" ht="20.25" thickTop="1" thickBot="1" x14ac:dyDescent="0.3">
      <c r="A20" s="3" t="s">
        <v>16</v>
      </c>
      <c r="B20" s="17"/>
      <c r="C20" s="21"/>
      <c r="D20" s="22">
        <f t="shared" si="1"/>
        <v>0</v>
      </c>
    </row>
    <row r="21" spans="1:4" ht="20.25" thickTop="1" thickBot="1" x14ac:dyDescent="0.3">
      <c r="A21" s="3" t="s">
        <v>17</v>
      </c>
      <c r="B21" s="17"/>
      <c r="C21" s="21"/>
      <c r="D21" s="22">
        <f t="shared" si="1"/>
        <v>0</v>
      </c>
    </row>
    <row r="22" spans="1:4" ht="20.25" thickTop="1" thickBot="1" x14ac:dyDescent="0.3">
      <c r="A22" s="3" t="s">
        <v>19</v>
      </c>
      <c r="B22" s="17"/>
      <c r="C22" s="21"/>
      <c r="D22" s="22">
        <f t="shared" si="1"/>
        <v>0</v>
      </c>
    </row>
    <row r="23" spans="1:4" ht="20.25" thickTop="1" thickBot="1" x14ac:dyDescent="0.3">
      <c r="A23" s="3" t="s">
        <v>18</v>
      </c>
      <c r="B23" s="17"/>
      <c r="C23" s="21"/>
      <c r="D23" s="22">
        <f t="shared" si="1"/>
        <v>0</v>
      </c>
    </row>
    <row r="24" spans="1:4" ht="20.25" thickTop="1" thickBot="1" x14ac:dyDescent="0.3">
      <c r="A24" s="3" t="s">
        <v>20</v>
      </c>
      <c r="B24" s="17"/>
      <c r="C24" s="21"/>
      <c r="D24" s="22">
        <f t="shared" si="1"/>
        <v>0</v>
      </c>
    </row>
    <row r="25" spans="1:4" ht="20.25" thickTop="1" thickBot="1" x14ac:dyDescent="0.3">
      <c r="A25" s="3" t="s">
        <v>21</v>
      </c>
      <c r="B25" s="17"/>
      <c r="C25" s="21"/>
      <c r="D25" s="22">
        <f t="shared" si="1"/>
        <v>0</v>
      </c>
    </row>
    <row r="26" spans="1:4" ht="24.75" thickTop="1" thickBot="1" x14ac:dyDescent="0.4">
      <c r="A26" s="84" t="s">
        <v>22</v>
      </c>
      <c r="B26" s="85"/>
      <c r="C26" s="85"/>
      <c r="D26" s="86"/>
    </row>
    <row r="27" spans="1:4" ht="20.25" thickTop="1" thickBot="1" x14ac:dyDescent="0.35">
      <c r="A27" s="3" t="s">
        <v>24</v>
      </c>
      <c r="B27" s="17">
        <v>14440</v>
      </c>
      <c r="C27" s="24"/>
      <c r="D27" s="18">
        <f>B27*C27</f>
        <v>0</v>
      </c>
    </row>
    <row r="28" spans="1:4" ht="20.25" thickTop="1" thickBot="1" x14ac:dyDescent="0.35">
      <c r="A28" s="3" t="s">
        <v>25</v>
      </c>
      <c r="B28" s="17">
        <v>9438</v>
      </c>
      <c r="C28" s="24"/>
      <c r="D28" s="18">
        <f>B28*C28</f>
        <v>0</v>
      </c>
    </row>
    <row r="29" spans="1:4" ht="20.25" thickTop="1" thickBot="1" x14ac:dyDescent="0.35">
      <c r="A29" s="3" t="s">
        <v>26</v>
      </c>
      <c r="B29" s="17">
        <v>9241</v>
      </c>
      <c r="C29" s="24"/>
      <c r="D29" s="18">
        <f>B29*C29</f>
        <v>0</v>
      </c>
    </row>
    <row r="30" spans="1:4" ht="24.75" thickTop="1" thickBot="1" x14ac:dyDescent="0.3">
      <c r="A30" s="78" t="s">
        <v>7</v>
      </c>
      <c r="B30" s="79"/>
      <c r="C30" s="79"/>
      <c r="D30" s="80"/>
    </row>
    <row r="31" spans="1:4" ht="20.25" thickTop="1" thickBot="1" x14ac:dyDescent="0.3">
      <c r="A31" s="25" t="s">
        <v>74</v>
      </c>
      <c r="B31" s="17">
        <v>28560</v>
      </c>
      <c r="C31" s="26"/>
      <c r="D31" s="22">
        <f>B31*C31</f>
        <v>0</v>
      </c>
    </row>
    <row r="32" spans="1:4" ht="20.25" thickTop="1" thickBot="1" x14ac:dyDescent="0.3">
      <c r="A32" s="25" t="s">
        <v>28</v>
      </c>
      <c r="B32" s="17">
        <v>57120</v>
      </c>
      <c r="C32" s="26"/>
      <c r="D32" s="22">
        <f>B32*C32</f>
        <v>0</v>
      </c>
    </row>
    <row r="33" spans="1:4" ht="20.25" thickTop="1" thickBot="1" x14ac:dyDescent="0.3">
      <c r="A33" s="25" t="s">
        <v>75</v>
      </c>
      <c r="B33" s="17">
        <v>24177</v>
      </c>
      <c r="C33" s="26"/>
      <c r="D33" s="22">
        <f>B33*C33</f>
        <v>0</v>
      </c>
    </row>
    <row r="34" spans="1:4" ht="20.25" thickTop="1" thickBot="1" x14ac:dyDescent="0.3">
      <c r="A34" s="25" t="s">
        <v>76</v>
      </c>
      <c r="B34" s="17">
        <v>48355</v>
      </c>
      <c r="C34" s="26"/>
      <c r="D34" s="22">
        <f>B34*C34</f>
        <v>0</v>
      </c>
    </row>
    <row r="35" spans="1:4" ht="24.75" thickTop="1" thickBot="1" x14ac:dyDescent="0.3">
      <c r="A35" s="81" t="s">
        <v>22</v>
      </c>
      <c r="B35" s="82"/>
      <c r="C35" s="82"/>
      <c r="D35" s="83"/>
    </row>
    <row r="36" spans="1:4" ht="20.25" thickTop="1" thickBot="1" x14ac:dyDescent="0.3">
      <c r="A36" s="25" t="s">
        <v>74</v>
      </c>
      <c r="B36" s="17">
        <v>10360</v>
      </c>
      <c r="C36" s="26"/>
      <c r="D36" s="22">
        <f>B36*C36</f>
        <v>0</v>
      </c>
    </row>
    <row r="37" spans="1:4" ht="24.75" thickTop="1" thickBot="1" x14ac:dyDescent="0.3">
      <c r="A37" s="75" t="s">
        <v>40</v>
      </c>
      <c r="B37" s="76"/>
      <c r="C37" s="76"/>
      <c r="D37" s="77"/>
    </row>
    <row r="38" spans="1:4" ht="20.25" thickTop="1" thickBot="1" x14ac:dyDescent="0.3">
      <c r="A38" s="89"/>
      <c r="B38" s="3" t="s">
        <v>30</v>
      </c>
      <c r="C38" s="7">
        <f>SUM(D1:D36)</f>
        <v>0</v>
      </c>
      <c r="D38" s="7"/>
    </row>
    <row r="39" spans="1:4" ht="20.25" thickTop="1" thickBot="1" x14ac:dyDescent="0.3">
      <c r="A39" s="90"/>
      <c r="B39" s="3" t="s">
        <v>29</v>
      </c>
      <c r="C39" s="7">
        <f>ROUNDUP((0.55*C38),0)</f>
        <v>0</v>
      </c>
      <c r="D39" s="7"/>
    </row>
    <row r="40" spans="1:4" ht="20.25" thickTop="1" thickBot="1" x14ac:dyDescent="0.3">
      <c r="A40" s="90"/>
      <c r="B40" s="3" t="s">
        <v>9</v>
      </c>
      <c r="C40" s="7">
        <f>ROUNDUP((0.3*C38),0)</f>
        <v>0</v>
      </c>
      <c r="D40" s="7"/>
    </row>
    <row r="41" spans="1:4" ht="20.25" thickTop="1" thickBot="1" x14ac:dyDescent="0.3">
      <c r="A41" s="90"/>
      <c r="B41" s="3" t="s">
        <v>31</v>
      </c>
      <c r="C41" s="7">
        <f>IF(D41&lt;1000,1000,D41)</f>
        <v>1000</v>
      </c>
      <c r="D41" s="7">
        <f>ROUNDUP((0.01*C38),0)</f>
        <v>0</v>
      </c>
    </row>
    <row r="42" spans="1:4" ht="20.25" thickTop="1" thickBot="1" x14ac:dyDescent="0.3">
      <c r="A42" s="90"/>
      <c r="B42" s="3" t="s">
        <v>10</v>
      </c>
      <c r="C42" s="7">
        <f>IF(D42&lt;4000,4000,D42)</f>
        <v>4000</v>
      </c>
      <c r="D42" s="7">
        <f>ROUNDUP((0.03*C38),0)</f>
        <v>0</v>
      </c>
    </row>
    <row r="43" spans="1:4" ht="20.25" thickTop="1" thickBot="1" x14ac:dyDescent="0.3">
      <c r="A43" s="90"/>
      <c r="B43" s="3" t="s">
        <v>32</v>
      </c>
      <c r="C43" s="7">
        <f>ROUNDUP((0.13*C38),0)</f>
        <v>0</v>
      </c>
      <c r="D43" s="7"/>
    </row>
    <row r="44" spans="1:4" ht="20.25" thickTop="1" thickBot="1" x14ac:dyDescent="0.3">
      <c r="A44" s="90"/>
      <c r="B44" s="3" t="s">
        <v>33</v>
      </c>
      <c r="C44" s="7">
        <f>ROUNDUP((C38*0.05),0)</f>
        <v>0</v>
      </c>
      <c r="D44" s="7"/>
    </row>
    <row r="45" spans="1:4" ht="20.25" thickTop="1" thickBot="1" x14ac:dyDescent="0.3">
      <c r="A45" s="90"/>
      <c r="B45" s="16" t="s">
        <v>35</v>
      </c>
      <c r="C45" s="71">
        <f>ROUNDUP((SUM(C38:C44)),0)</f>
        <v>5000</v>
      </c>
      <c r="D45" s="72"/>
    </row>
    <row r="46" spans="1:4" ht="20.25" thickTop="1" thickBot="1" x14ac:dyDescent="0.3">
      <c r="A46" s="90"/>
      <c r="B46" s="3" t="s">
        <v>34</v>
      </c>
      <c r="C46" s="73">
        <f>ROUNDUP((0.45*C45),0)</f>
        <v>2250</v>
      </c>
      <c r="D46" s="74"/>
    </row>
    <row r="47" spans="1:4" ht="20.25" thickTop="1" thickBot="1" x14ac:dyDescent="0.3">
      <c r="A47" s="90"/>
      <c r="B47" s="16" t="s">
        <v>35</v>
      </c>
      <c r="C47" s="71">
        <f>ROUND((C46+C45),0)</f>
        <v>7250</v>
      </c>
      <c r="D47" s="72"/>
    </row>
    <row r="48" spans="1:4" ht="20.25" thickTop="1" thickBot="1" x14ac:dyDescent="0.3">
      <c r="A48" s="90"/>
      <c r="B48" s="4" t="s">
        <v>27</v>
      </c>
      <c r="C48" s="73">
        <f>ROUNDUP((C47*0.3)*0.05,0)</f>
        <v>109</v>
      </c>
      <c r="D48" s="74"/>
    </row>
    <row r="49" spans="1:4" ht="20.25" thickTop="1" thickBot="1" x14ac:dyDescent="0.3">
      <c r="A49" s="90"/>
      <c r="B49" s="4" t="s">
        <v>11</v>
      </c>
      <c r="C49" s="73">
        <f>ROUNDUP((C47*0.7)*0.02,0)</f>
        <v>102</v>
      </c>
      <c r="D49" s="74"/>
    </row>
    <row r="50" spans="1:4" ht="20.25" thickTop="1" thickBot="1" x14ac:dyDescent="0.3">
      <c r="A50" s="90"/>
      <c r="B50" s="4" t="s">
        <v>12</v>
      </c>
      <c r="C50" s="73">
        <f>ROUNDUP((C47*0.7)*0.04,0)</f>
        <v>203</v>
      </c>
      <c r="D50" s="74"/>
    </row>
    <row r="51" spans="1:4" ht="20.25" thickTop="1" thickBot="1" x14ac:dyDescent="0.3">
      <c r="A51" s="91"/>
      <c r="B51" s="16" t="s">
        <v>35</v>
      </c>
      <c r="C51" s="71">
        <f>ROUNDUP((C47+C48),0)</f>
        <v>7359</v>
      </c>
      <c r="D51" s="72"/>
    </row>
    <row r="52" spans="1:4" ht="20.25" thickTop="1" thickBot="1" x14ac:dyDescent="0.3">
      <c r="A52" s="30"/>
      <c r="B52" s="29"/>
      <c r="C52" s="87">
        <f>C51/0.9</f>
        <v>8176.6666666666661</v>
      </c>
      <c r="D52" s="88"/>
    </row>
    <row r="53" spans="1:4" ht="15.75" thickTop="1" x14ac:dyDescent="0.25"/>
  </sheetData>
  <mergeCells count="15">
    <mergeCell ref="C52:D52"/>
    <mergeCell ref="A38:A51"/>
    <mergeCell ref="C45:D45"/>
    <mergeCell ref="C46:D46"/>
    <mergeCell ref="C47:D47"/>
    <mergeCell ref="C48:D48"/>
    <mergeCell ref="C49:D49"/>
    <mergeCell ref="C50:D50"/>
    <mergeCell ref="C51:D51"/>
    <mergeCell ref="A37:D37"/>
    <mergeCell ref="A2:D2"/>
    <mergeCell ref="A16:D16"/>
    <mergeCell ref="A26:D26"/>
    <mergeCell ref="A30:D30"/>
    <mergeCell ref="A35:D35"/>
  </mergeCells>
  <phoneticPr fontId="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="70" zoomScaleNormal="70" workbookViewId="0">
      <selection activeCell="E23" sqref="E23:E24"/>
    </sheetView>
  </sheetViews>
  <sheetFormatPr defaultColWidth="38.7109375" defaultRowHeight="15" x14ac:dyDescent="0.25"/>
  <sheetData>
    <row r="1" spans="1:4" ht="22.5" thickTop="1" thickBot="1" x14ac:dyDescent="0.3">
      <c r="A1" s="58" t="s">
        <v>162</v>
      </c>
      <c r="B1" s="59"/>
      <c r="C1" s="59"/>
      <c r="D1" s="59"/>
    </row>
    <row r="2" spans="1:4" ht="20.25" thickTop="1" thickBot="1" x14ac:dyDescent="0.3">
      <c r="A2" s="92"/>
      <c r="B2" s="93"/>
      <c r="C2" s="93"/>
      <c r="D2" s="93"/>
    </row>
    <row r="3" spans="1:4" ht="24.75" thickTop="1" thickBot="1" x14ac:dyDescent="0.3">
      <c r="A3" s="68" t="s">
        <v>36</v>
      </c>
      <c r="B3" s="69"/>
      <c r="C3" s="69"/>
      <c r="D3" s="70"/>
    </row>
    <row r="4" spans="1:4" ht="20.25" thickTop="1" thickBot="1" x14ac:dyDescent="0.3">
      <c r="A4" s="94"/>
      <c r="B4" s="3" t="s">
        <v>30</v>
      </c>
      <c r="C4" s="7">
        <v>15000</v>
      </c>
      <c r="D4" s="7"/>
    </row>
    <row r="5" spans="1:4" ht="20.25" thickTop="1" thickBot="1" x14ac:dyDescent="0.3">
      <c r="A5" s="95"/>
      <c r="B5" s="3" t="s">
        <v>9</v>
      </c>
      <c r="C5" s="7">
        <f>ROUNDUP((0.23*C4),0)</f>
        <v>3450</v>
      </c>
      <c r="D5" s="7"/>
    </row>
    <row r="6" spans="1:4" ht="20.25" thickTop="1" thickBot="1" x14ac:dyDescent="0.3">
      <c r="A6" s="95"/>
      <c r="B6" s="16" t="s">
        <v>35</v>
      </c>
      <c r="C6" s="71">
        <f>ROUNDUP(C4+C5,-2)</f>
        <v>18500</v>
      </c>
      <c r="D6" s="72"/>
    </row>
    <row r="7" spans="1:4" ht="20.25" thickTop="1" thickBot="1" x14ac:dyDescent="0.3">
      <c r="A7" s="95"/>
      <c r="B7" s="3" t="s">
        <v>34</v>
      </c>
      <c r="C7" s="73">
        <f>ROUNDUP(0.35*C6,-2)</f>
        <v>6500</v>
      </c>
      <c r="D7" s="74"/>
    </row>
    <row r="8" spans="1:4" ht="20.25" thickTop="1" thickBot="1" x14ac:dyDescent="0.3">
      <c r="A8" s="95"/>
      <c r="B8" s="16" t="s">
        <v>35</v>
      </c>
      <c r="C8" s="71">
        <f>ROUNDUP(C6+C7,-2)</f>
        <v>25000</v>
      </c>
      <c r="D8" s="72"/>
    </row>
    <row r="9" spans="1:4" ht="20.25" thickTop="1" thickBot="1" x14ac:dyDescent="0.3">
      <c r="A9" s="95"/>
      <c r="B9" s="4" t="s">
        <v>27</v>
      </c>
      <c r="C9" s="73">
        <f>ROUNDUP((C8*0.3)*0.05,-2)</f>
        <v>400</v>
      </c>
      <c r="D9" s="74"/>
    </row>
    <row r="10" spans="1:4" ht="20.25" thickTop="1" thickBot="1" x14ac:dyDescent="0.3">
      <c r="A10" s="95"/>
      <c r="B10" s="4" t="s">
        <v>11</v>
      </c>
      <c r="C10" s="73">
        <f>ROUNDUP((C8*0.7)*0.02,-2)</f>
        <v>400</v>
      </c>
      <c r="D10" s="74"/>
    </row>
    <row r="11" spans="1:4" ht="20.25" thickTop="1" thickBot="1" x14ac:dyDescent="0.3">
      <c r="A11" s="95"/>
      <c r="B11" s="4" t="s">
        <v>12</v>
      </c>
      <c r="C11" s="73">
        <f>ROUNDUP((C8*0.7)*0.04,-2)</f>
        <v>700</v>
      </c>
      <c r="D11" s="74"/>
    </row>
    <row r="12" spans="1:4" ht="20.25" thickTop="1" thickBot="1" x14ac:dyDescent="0.3">
      <c r="A12" s="95"/>
      <c r="B12" s="16" t="s">
        <v>35</v>
      </c>
      <c r="C12" s="71">
        <f>ROUNDUP(SUM(C8:D11),-2)</f>
        <v>26500</v>
      </c>
      <c r="D12" s="72"/>
    </row>
    <row r="13" spans="1:4" ht="20.25" thickTop="1" thickBot="1" x14ac:dyDescent="0.3">
      <c r="A13" s="96"/>
      <c r="B13" s="29" t="s">
        <v>163</v>
      </c>
      <c r="C13" s="66">
        <f>C12/0.9</f>
        <v>29444.444444444445</v>
      </c>
      <c r="D13" s="67"/>
    </row>
    <row r="14" spans="1:4" ht="15.75" thickTop="1" x14ac:dyDescent="0.25"/>
  </sheetData>
  <mergeCells count="12">
    <mergeCell ref="C12:D12"/>
    <mergeCell ref="C13:D13"/>
    <mergeCell ref="A1:D1"/>
    <mergeCell ref="A2:D2"/>
    <mergeCell ref="A3:D3"/>
    <mergeCell ref="A4:A13"/>
    <mergeCell ref="C6:D6"/>
    <mergeCell ref="C7:D7"/>
    <mergeCell ref="C8:D8"/>
    <mergeCell ref="C9:D9"/>
    <mergeCell ref="C10:D10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6B8083-D0E8-45EE-9E20-F20FA51181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Аня шкаф (2)</vt:lpstr>
      <vt:lpstr>Влад и Кристина</vt:lpstr>
      <vt:lpstr>Аня шкаф</vt:lpstr>
      <vt:lpstr>детская  лдсп б ламарти+экстрав</vt:lpstr>
      <vt:lpstr>ННК</vt:lpstr>
      <vt:lpstr>детская evoglos+ лдсп</vt:lpstr>
      <vt:lpstr>СТОЛЕШНИЦЫ</vt:lpstr>
      <vt:lpstr>РАСЧЕТ ЗЕРКАЛ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2026-04-10T00:36:36Z</dcterms:modified>
</cp:coreProperties>
</file>